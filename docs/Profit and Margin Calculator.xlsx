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3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9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packagedagile-my.sharepoint.com/personal/dave_witkin_packagedagile_com/Documents/Documents/Python Apps/margin-calc/docs/"/>
    </mc:Choice>
  </mc:AlternateContent>
  <xr:revisionPtr revIDLastSave="6828" documentId="13_ncr:1_{F411BD04-ED20-4451-AF2A-D44946B70539}" xr6:coauthVersionLast="47" xr6:coauthVersionMax="47" xr10:uidLastSave="{64AFC297-7CCD-4CB1-8D80-86AA824A1128}"/>
  <bookViews>
    <workbookView xWindow="-14074" yWindow="-15351" windowWidth="24394" windowHeight="15137" activeTab="1" xr2:uid="{00000000-000D-0000-FFFF-FFFF00000000}"/>
  </bookViews>
  <sheets>
    <sheet name="Profit Ranges" sheetId="1" r:id="rId1"/>
    <sheet name="Profit Calculator" sheetId="2" r:id="rId2"/>
    <sheet name="Warehouse" sheetId="22" r:id="rId3"/>
    <sheet name="Employee Profit Calculator" sheetId="3" r:id="rId4"/>
    <sheet name="AMC" sheetId="23" state="hidden" r:id="rId5"/>
    <sheet name="Army Analysis 2024-10" sheetId="20" state="hidden" r:id="rId6"/>
    <sheet name="Senior Coaches" sheetId="15" state="hidden" r:id="rId7"/>
    <sheet name="EBS-C Project" sheetId="14" r:id="rId8"/>
    <sheet name="1099 FFP vs T&amp;M" sheetId="25" r:id="rId9"/>
    <sheet name="IRS DSS" sheetId="19" state="hidden" r:id="rId10"/>
    <sheet name="IRS Mod" sheetId="17" state="hidden" r:id="rId11"/>
    <sheet name="Army Staffing Options" sheetId="4" state="hidden" r:id="rId12"/>
    <sheet name="ED AMS Staffing T&amp;M" sheetId="6" state="hidden" r:id="rId13"/>
    <sheet name="FMBT Bid" sheetId="11" state="hidden" r:id="rId14"/>
    <sheet name="ED Internal View" sheetId="12" state="hidden" r:id="rId15"/>
    <sheet name="ED AMS Presentation View" sheetId="13" state="hidden" r:id="rId16"/>
    <sheet name="Sheet2" sheetId="10" state="hidden" r:id="rId17"/>
    <sheet name="Offer Terms" sheetId="7" state="hidden" r:id="rId18"/>
    <sheet name="VA OY9" sheetId="18" state="hidden" r:id="rId19"/>
    <sheet name="Sheet1" sheetId="21" state="hidden" r:id="rId20"/>
    <sheet name="Sheet3" sheetId="24" r:id="rId21"/>
  </sheets>
  <definedNames>
    <definedName name="nrClientHourlyRate">'Profit Calculator'!$I$7</definedName>
    <definedName name="nrHoursPerYear">'Profit Ranges'!$C$5</definedName>
    <definedName name="nrSarahSmith" localSheetId="13">'FMBT Bid'!$B$26</definedName>
    <definedName name="nrSarahSmith">'Employee Profit Calculator'!$B$29</definedName>
    <definedName name="nrSarahSmith2" localSheetId="13">'FMBT Bid'!$C$26</definedName>
    <definedName name="nrSarahSmith2">'Employee Profit Calculator'!$C$29</definedName>
    <definedName name="nrTargetProfitPct">'Profit Ranges'!$E$5</definedName>
    <definedName name="nrTargetProfitPct3">'Profit Ranges'!$U$5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2" roundtripDataSignature="AMtx7mjM6j1HHxubAKD5rFdyRM3uiqWbcg=="/>
    </ext>
  </extLst>
</workbook>
</file>

<file path=xl/calcChain.xml><?xml version="1.0" encoding="utf-8"?>
<calcChain xmlns="http://schemas.openxmlformats.org/spreadsheetml/2006/main">
  <c r="I18" i="14" l="1"/>
  <c r="G13" i="25"/>
  <c r="F13" i="25"/>
  <c r="N7" i="25"/>
  <c r="N13" i="25"/>
  <c r="N14" i="25" s="1"/>
  <c r="M13" i="25"/>
  <c r="M14" i="25" s="1"/>
  <c r="L13" i="25"/>
  <c r="L14" i="25" s="1"/>
  <c r="K13" i="25"/>
  <c r="K14" i="25" s="1"/>
  <c r="J13" i="25"/>
  <c r="J14" i="25" s="1"/>
  <c r="I13" i="25"/>
  <c r="I14" i="25" s="1"/>
  <c r="H13" i="25"/>
  <c r="H14" i="25" s="1"/>
  <c r="G14" i="25"/>
  <c r="F14" i="25"/>
  <c r="I7" i="25"/>
  <c r="J7" i="25"/>
  <c r="K7" i="25"/>
  <c r="L7" i="25"/>
  <c r="M7" i="25"/>
  <c r="H7" i="25"/>
  <c r="G7" i="25"/>
  <c r="F7" i="25"/>
  <c r="B416" i="3"/>
  <c r="C416" i="3"/>
  <c r="I416" i="3"/>
  <c r="D416" i="3"/>
  <c r="L413" i="3"/>
  <c r="I409" i="3"/>
  <c r="D409" i="3"/>
  <c r="E409" i="3" s="1"/>
  <c r="C409" i="3"/>
  <c r="F409" i="3" s="1"/>
  <c r="G409" i="3" s="1"/>
  <c r="L406" i="3"/>
  <c r="J406" i="3"/>
  <c r="I402" i="3"/>
  <c r="D402" i="3"/>
  <c r="E402" i="3" s="1"/>
  <c r="C402" i="3"/>
  <c r="F402" i="3" s="1"/>
  <c r="G402" i="3" s="1"/>
  <c r="L399" i="3"/>
  <c r="J399" i="3"/>
  <c r="I395" i="3"/>
  <c r="D395" i="3"/>
  <c r="E395" i="3" s="1"/>
  <c r="C395" i="3"/>
  <c r="F395" i="3" s="1"/>
  <c r="G395" i="3" s="1"/>
  <c r="L392" i="3"/>
  <c r="J392" i="3"/>
  <c r="I388" i="3"/>
  <c r="D388" i="3"/>
  <c r="E388" i="3" s="1"/>
  <c r="C388" i="3"/>
  <c r="F388" i="3" s="1"/>
  <c r="G388" i="3" s="1"/>
  <c r="L385" i="3"/>
  <c r="J385" i="3"/>
  <c r="I381" i="3"/>
  <c r="D381" i="3"/>
  <c r="E381" i="3" s="1"/>
  <c r="C381" i="3"/>
  <c r="F381" i="3" s="1"/>
  <c r="G381" i="3" s="1"/>
  <c r="L378" i="3"/>
  <c r="J378" i="3"/>
  <c r="AD21" i="22"/>
  <c r="AD18" i="22"/>
  <c r="AD19" i="22"/>
  <c r="AD20" i="22"/>
  <c r="AD17" i="22"/>
  <c r="U20" i="22"/>
  <c r="AB18" i="22"/>
  <c r="AA18" i="22"/>
  <c r="B21" i="22"/>
  <c r="C7" i="22"/>
  <c r="C8" i="22" s="1"/>
  <c r="D21" i="22"/>
  <c r="D29" i="22"/>
  <c r="B36" i="22"/>
  <c r="I36" i="22"/>
  <c r="M36" i="22" s="1"/>
  <c r="D36" i="22"/>
  <c r="N33" i="22"/>
  <c r="B29" i="22"/>
  <c r="I29" i="22"/>
  <c r="M29" i="22" s="1"/>
  <c r="N26" i="22"/>
  <c r="G18" i="22"/>
  <c r="I21" i="22" s="1"/>
  <c r="M21" i="22" s="1"/>
  <c r="N18" i="22"/>
  <c r="C13" i="22"/>
  <c r="Y18" i="22" s="1"/>
  <c r="I19" i="20"/>
  <c r="C17" i="23"/>
  <c r="B9" i="23"/>
  <c r="B343" i="3"/>
  <c r="E9" i="23"/>
  <c r="B17" i="23"/>
  <c r="E17" i="23" s="1"/>
  <c r="B28" i="23"/>
  <c r="E28" i="23" s="1"/>
  <c r="D28" i="23"/>
  <c r="C293" i="3"/>
  <c r="D9" i="23"/>
  <c r="M28" i="23"/>
  <c r="D17" i="23"/>
  <c r="I28" i="23"/>
  <c r="L25" i="23"/>
  <c r="I17" i="23"/>
  <c r="M17" i="23" s="1"/>
  <c r="L14" i="23"/>
  <c r="L6" i="23"/>
  <c r="I497" i="3"/>
  <c r="D497" i="3"/>
  <c r="E497" i="3" s="1"/>
  <c r="C497" i="3"/>
  <c r="F497" i="3" s="1"/>
  <c r="G497" i="3" s="1"/>
  <c r="L494" i="3"/>
  <c r="J494" i="3"/>
  <c r="I488" i="3"/>
  <c r="D488" i="3"/>
  <c r="E488" i="3" s="1"/>
  <c r="C488" i="3"/>
  <c r="F488" i="3" s="1"/>
  <c r="G488" i="3" s="1"/>
  <c r="L485" i="3"/>
  <c r="J485" i="3"/>
  <c r="AC50" i="19"/>
  <c r="AC51" i="19" s="1"/>
  <c r="AC52" i="19"/>
  <c r="O7" i="25" l="1"/>
  <c r="O14" i="25"/>
  <c r="E416" i="3"/>
  <c r="F416" i="3"/>
  <c r="M416" i="3"/>
  <c r="J409" i="3"/>
  <c r="K406" i="3"/>
  <c r="N406" i="3" s="1"/>
  <c r="M409" i="3"/>
  <c r="K409" i="3"/>
  <c r="J402" i="3"/>
  <c r="K399" i="3"/>
  <c r="N399" i="3" s="1"/>
  <c r="M402" i="3"/>
  <c r="K402" i="3"/>
  <c r="J395" i="3"/>
  <c r="K392" i="3"/>
  <c r="N392" i="3" s="1"/>
  <c r="M395" i="3"/>
  <c r="K395" i="3"/>
  <c r="J388" i="3"/>
  <c r="K385" i="3"/>
  <c r="N385" i="3" s="1"/>
  <c r="M388" i="3"/>
  <c r="K388" i="3"/>
  <c r="J381" i="3"/>
  <c r="K378" i="3"/>
  <c r="N378" i="3" s="1"/>
  <c r="M381" i="3"/>
  <c r="K381" i="3"/>
  <c r="AC18" i="22"/>
  <c r="W20" i="22"/>
  <c r="T18" i="22"/>
  <c r="T21" i="22" s="1"/>
  <c r="AC20" i="22"/>
  <c r="V20" i="22"/>
  <c r="AB20" i="22"/>
  <c r="U18" i="22"/>
  <c r="V18" i="22"/>
  <c r="AA20" i="22"/>
  <c r="X18" i="22"/>
  <c r="Y20" i="22"/>
  <c r="Z18" i="22"/>
  <c r="W18" i="22"/>
  <c r="Z20" i="22"/>
  <c r="X20" i="22"/>
  <c r="C21" i="22"/>
  <c r="E36" i="22"/>
  <c r="C36" i="22"/>
  <c r="E29" i="22"/>
  <c r="C29" i="22"/>
  <c r="E21" i="22"/>
  <c r="C9" i="23"/>
  <c r="F9" i="23" s="1"/>
  <c r="C28" i="23"/>
  <c r="F28" i="23" s="1"/>
  <c r="I9" i="23"/>
  <c r="F17" i="23"/>
  <c r="J14" i="23" s="1"/>
  <c r="J497" i="3"/>
  <c r="K494" i="3"/>
  <c r="N494" i="3" s="1"/>
  <c r="M497" i="3"/>
  <c r="K497" i="3"/>
  <c r="J488" i="3"/>
  <c r="K485" i="3"/>
  <c r="N485" i="3" s="1"/>
  <c r="M488" i="3"/>
  <c r="K488" i="3"/>
  <c r="BG44" i="19"/>
  <c r="BJ44" i="19" s="1"/>
  <c r="BK44" i="19" s="1"/>
  <c r="BH44" i="19"/>
  <c r="BI44" i="19"/>
  <c r="BM44" i="19"/>
  <c r="BQ44" i="19"/>
  <c r="BN48" i="19"/>
  <c r="BN51" i="19" s="1"/>
  <c r="BO48" i="19"/>
  <c r="BR48" i="19" s="1"/>
  <c r="BP48" i="19"/>
  <c r="BG51" i="19"/>
  <c r="BH51" i="19"/>
  <c r="BI51" i="19"/>
  <c r="BJ51" i="19"/>
  <c r="BK51" i="19" s="1"/>
  <c r="BM51" i="19"/>
  <c r="BQ51" i="19" s="1"/>
  <c r="BP55" i="19"/>
  <c r="BR55" i="19"/>
  <c r="BG58" i="19"/>
  <c r="BH58" i="19"/>
  <c r="BI58" i="19"/>
  <c r="BJ58" i="19"/>
  <c r="BN55" i="19" s="1"/>
  <c r="BO55" i="19" s="1"/>
  <c r="BM58" i="19"/>
  <c r="BN58" i="19"/>
  <c r="BP62" i="19"/>
  <c r="BG65" i="19"/>
  <c r="BJ65" i="19" s="1"/>
  <c r="BH65" i="19"/>
  <c r="BI65" i="19"/>
  <c r="BM65" i="19"/>
  <c r="BQ65" i="19"/>
  <c r="BN41" i="19"/>
  <c r="BN44" i="19" s="1"/>
  <c r="BO44" i="19" s="1"/>
  <c r="BO41" i="19"/>
  <c r="BP41" i="19"/>
  <c r="BR41" i="19"/>
  <c r="BG37" i="19"/>
  <c r="BJ37" i="19" s="1"/>
  <c r="BK37" i="19" s="1"/>
  <c r="BH37" i="19"/>
  <c r="BI37" i="19"/>
  <c r="BM37" i="19"/>
  <c r="BQ37" i="19"/>
  <c r="BP34" i="19"/>
  <c r="BG30" i="19"/>
  <c r="BH30" i="19"/>
  <c r="BI30" i="19"/>
  <c r="BJ30" i="19"/>
  <c r="BN27" i="19" s="1"/>
  <c r="BO27" i="19" s="1"/>
  <c r="BK30" i="19"/>
  <c r="BM30" i="19"/>
  <c r="BN30" i="19"/>
  <c r="BO30" i="19"/>
  <c r="BR30" i="19" s="1"/>
  <c r="BP30" i="19"/>
  <c r="BQ30" i="19"/>
  <c r="BP27" i="19"/>
  <c r="BR27" i="19"/>
  <c r="BG23" i="19"/>
  <c r="BJ23" i="19" s="1"/>
  <c r="BH23" i="19"/>
  <c r="BI23" i="19"/>
  <c r="BM23" i="19"/>
  <c r="BP20" i="19"/>
  <c r="BG16" i="19"/>
  <c r="BH16" i="19"/>
  <c r="BI16" i="19" s="1"/>
  <c r="BM16" i="19"/>
  <c r="BQ16" i="19"/>
  <c r="BP13" i="19"/>
  <c r="BG9" i="19"/>
  <c r="BJ9" i="19" s="1"/>
  <c r="BK9" i="19" s="1"/>
  <c r="BH9" i="19"/>
  <c r="BI9" i="19"/>
  <c r="BM9" i="19"/>
  <c r="BQ9" i="19"/>
  <c r="BP6" i="19"/>
  <c r="Z48" i="19"/>
  <c r="Q51" i="19"/>
  <c r="R51" i="19"/>
  <c r="S51" i="19"/>
  <c r="T51" i="19"/>
  <c r="X48" i="19" s="1"/>
  <c r="W51" i="19"/>
  <c r="Z55" i="19"/>
  <c r="Q58" i="19"/>
  <c r="T58" i="19" s="1"/>
  <c r="U58" i="19" s="1"/>
  <c r="R58" i="19"/>
  <c r="S58" i="19"/>
  <c r="W58" i="19"/>
  <c r="AA58" i="19"/>
  <c r="X62" i="19"/>
  <c r="X65" i="19" s="1"/>
  <c r="Y65" i="19" s="1"/>
  <c r="Y62" i="19"/>
  <c r="Z62" i="19"/>
  <c r="AB62" i="19"/>
  <c r="Q65" i="19"/>
  <c r="R65" i="19"/>
  <c r="S65" i="19"/>
  <c r="T65" i="19"/>
  <c r="U65" i="19"/>
  <c r="W65" i="19"/>
  <c r="AA65" i="19"/>
  <c r="Q44" i="19"/>
  <c r="T44" i="19" s="1"/>
  <c r="U44" i="19" s="1"/>
  <c r="R44" i="19"/>
  <c r="S44" i="19"/>
  <c r="W44" i="19"/>
  <c r="AA44" i="19"/>
  <c r="Z41" i="19"/>
  <c r="Q37" i="19"/>
  <c r="R37" i="19"/>
  <c r="S37" i="19"/>
  <c r="T37" i="19"/>
  <c r="X34" i="19" s="1"/>
  <c r="Y34" i="19" s="1"/>
  <c r="U37" i="19"/>
  <c r="W37" i="19"/>
  <c r="AA37" i="19"/>
  <c r="Z34" i="19"/>
  <c r="AB34" i="19"/>
  <c r="Q30" i="19"/>
  <c r="R30" i="19"/>
  <c r="S30" i="19" s="1"/>
  <c r="W30" i="19"/>
  <c r="Z27" i="19"/>
  <c r="Q23" i="19"/>
  <c r="T23" i="19" s="1"/>
  <c r="R23" i="19"/>
  <c r="S23" i="19"/>
  <c r="W23" i="19"/>
  <c r="AA23" i="19"/>
  <c r="Z20" i="19"/>
  <c r="Q16" i="19"/>
  <c r="T16" i="19" s="1"/>
  <c r="U16" i="19" s="1"/>
  <c r="R16" i="19"/>
  <c r="S16" i="19"/>
  <c r="W16" i="19"/>
  <c r="AA16" i="19" s="1"/>
  <c r="Z13" i="19"/>
  <c r="Q9" i="19"/>
  <c r="R9" i="19"/>
  <c r="S9" i="19"/>
  <c r="T9" i="19" s="1"/>
  <c r="W9" i="19"/>
  <c r="AA9" i="19"/>
  <c r="Z6" i="19"/>
  <c r="BB48" i="19"/>
  <c r="AS51" i="19"/>
  <c r="AT51" i="19"/>
  <c r="AU51" i="19"/>
  <c r="AY51" i="19"/>
  <c r="BC51" i="19"/>
  <c r="AZ55" i="19"/>
  <c r="AZ58" i="19" s="1"/>
  <c r="BA58" i="19" s="1"/>
  <c r="BA55" i="19"/>
  <c r="BD55" i="19" s="1"/>
  <c r="BB55" i="19"/>
  <c r="AS58" i="19"/>
  <c r="AT58" i="19"/>
  <c r="AU58" i="19"/>
  <c r="AV58" i="19"/>
  <c r="AW58" i="19"/>
  <c r="AY58" i="19"/>
  <c r="BC58" i="19"/>
  <c r="BB62" i="19"/>
  <c r="AS65" i="19"/>
  <c r="AT65" i="19"/>
  <c r="AU65" i="19" s="1"/>
  <c r="AV65" i="19" s="1"/>
  <c r="AY65" i="19"/>
  <c r="BC65" i="19" s="1"/>
  <c r="AS44" i="19"/>
  <c r="AT44" i="19"/>
  <c r="AU44" i="19"/>
  <c r="AV44" i="19"/>
  <c r="AZ41" i="19" s="1"/>
  <c r="BA41" i="19" s="1"/>
  <c r="AW44" i="19"/>
  <c r="AY44" i="19"/>
  <c r="BC44" i="19" s="1"/>
  <c r="BB41" i="19"/>
  <c r="AZ44" i="19" s="1"/>
  <c r="BD41" i="19"/>
  <c r="AS37" i="19"/>
  <c r="AV37" i="19" s="1"/>
  <c r="AT37" i="19"/>
  <c r="AU37" i="19"/>
  <c r="AY37" i="19"/>
  <c r="BB34" i="19"/>
  <c r="AS30" i="19"/>
  <c r="AV30" i="19" s="1"/>
  <c r="AT30" i="19"/>
  <c r="AU30" i="19"/>
  <c r="AY30" i="19"/>
  <c r="BC30" i="19"/>
  <c r="BB27" i="19"/>
  <c r="AS23" i="19"/>
  <c r="AV23" i="19" s="1"/>
  <c r="AT23" i="19"/>
  <c r="AU23" i="19"/>
  <c r="AW23" i="19"/>
  <c r="AY23" i="19"/>
  <c r="BC23" i="19"/>
  <c r="AZ20" i="19"/>
  <c r="AZ23" i="19" s="1"/>
  <c r="BA23" i="19" s="1"/>
  <c r="BA20" i="19"/>
  <c r="BD20" i="19" s="1"/>
  <c r="BB20" i="19"/>
  <c r="AS16" i="19"/>
  <c r="AT16" i="19"/>
  <c r="AU16" i="19"/>
  <c r="AV16" i="19" s="1"/>
  <c r="AY16" i="19"/>
  <c r="BC16" i="19"/>
  <c r="BB13" i="19"/>
  <c r="AS9" i="19"/>
  <c r="AV9" i="19" s="1"/>
  <c r="AT9" i="19"/>
  <c r="AU9" i="19"/>
  <c r="AY9" i="19"/>
  <c r="BB6" i="19"/>
  <c r="C15" i="21"/>
  <c r="C14" i="21"/>
  <c r="C8" i="21"/>
  <c r="I8" i="21"/>
  <c r="D8" i="21"/>
  <c r="E8" i="21" s="1"/>
  <c r="F8" i="21"/>
  <c r="G8" i="21" s="1"/>
  <c r="L5" i="21"/>
  <c r="J5" i="21"/>
  <c r="I20" i="20"/>
  <c r="I18" i="20"/>
  <c r="J13" i="20"/>
  <c r="J12" i="20"/>
  <c r="J11" i="20"/>
  <c r="J10" i="20"/>
  <c r="J4" i="20"/>
  <c r="J5" i="20"/>
  <c r="J3" i="20"/>
  <c r="H20" i="20"/>
  <c r="G20" i="20"/>
  <c r="H19" i="20"/>
  <c r="G19" i="20"/>
  <c r="H18" i="20"/>
  <c r="H21" i="20" s="1"/>
  <c r="G18" i="20"/>
  <c r="H12" i="20"/>
  <c r="G12" i="20"/>
  <c r="I12" i="20" s="1"/>
  <c r="K12" i="20" s="1"/>
  <c r="H11" i="20"/>
  <c r="G11" i="20"/>
  <c r="I11" i="20" s="1"/>
  <c r="K11" i="20" s="1"/>
  <c r="H10" i="20"/>
  <c r="H13" i="20" s="1"/>
  <c r="G10" i="20"/>
  <c r="G13" i="20" s="1"/>
  <c r="H4" i="20"/>
  <c r="H3" i="20"/>
  <c r="H5" i="20" s="1"/>
  <c r="G4" i="20"/>
  <c r="I4" i="20" s="1"/>
  <c r="K4" i="20" s="1"/>
  <c r="G3" i="20"/>
  <c r="I426" i="3"/>
  <c r="C426" i="3"/>
  <c r="I469" i="3"/>
  <c r="M469" i="3" s="1"/>
  <c r="D469" i="3"/>
  <c r="B469" i="3"/>
  <c r="L466" i="3"/>
  <c r="I461" i="3"/>
  <c r="I462" i="3" s="1"/>
  <c r="D461" i="3"/>
  <c r="B461" i="3"/>
  <c r="L458" i="3"/>
  <c r="I453" i="3"/>
  <c r="M453" i="3" s="1"/>
  <c r="D453" i="3"/>
  <c r="E453" i="3" s="1"/>
  <c r="C453" i="3"/>
  <c r="L450" i="3"/>
  <c r="I440" i="3"/>
  <c r="I441" i="3" s="1"/>
  <c r="D440" i="3"/>
  <c r="B440" i="3"/>
  <c r="L437" i="3"/>
  <c r="M426" i="3"/>
  <c r="D426" i="3"/>
  <c r="E426" i="3" s="1"/>
  <c r="L423" i="3"/>
  <c r="I433" i="3"/>
  <c r="M433" i="3" s="1"/>
  <c r="D433" i="3"/>
  <c r="E433" i="3" s="1"/>
  <c r="C433" i="3"/>
  <c r="L430" i="3"/>
  <c r="D34" i="14"/>
  <c r="T34" i="14"/>
  <c r="S34" i="14"/>
  <c r="Z34" i="14"/>
  <c r="U34" i="14"/>
  <c r="AC31" i="14"/>
  <c r="Z25" i="14"/>
  <c r="U25" i="14"/>
  <c r="V25" i="14" s="1"/>
  <c r="T25" i="14"/>
  <c r="W25" i="14" s="1"/>
  <c r="X25" i="14" s="1"/>
  <c r="AC22" i="14"/>
  <c r="AA22" i="14"/>
  <c r="I65" i="19"/>
  <c r="D65" i="19"/>
  <c r="E65" i="19" s="1"/>
  <c r="C65" i="19"/>
  <c r="F65" i="19" s="1"/>
  <c r="G65" i="19" s="1"/>
  <c r="L62" i="19"/>
  <c r="AF51" i="19"/>
  <c r="AG51" i="19"/>
  <c r="AH51" i="19"/>
  <c r="AI51" i="19"/>
  <c r="AM48" i="19" s="1"/>
  <c r="AN48" i="19" s="1"/>
  <c r="AJ51" i="19"/>
  <c r="AL51" i="19"/>
  <c r="AP51" i="19"/>
  <c r="AO48" i="19"/>
  <c r="AF58" i="19"/>
  <c r="AI58" i="19" s="1"/>
  <c r="AJ58" i="19" s="1"/>
  <c r="AG58" i="19"/>
  <c r="AH58" i="19" s="1"/>
  <c r="AL58" i="19"/>
  <c r="AP58" i="19"/>
  <c r="AM55" i="19"/>
  <c r="AN55" i="19"/>
  <c r="AO55" i="19"/>
  <c r="AF9" i="19"/>
  <c r="AI9" i="19" s="1"/>
  <c r="AG9" i="19"/>
  <c r="AH9" i="19" s="1"/>
  <c r="AL9" i="19"/>
  <c r="AP9" i="19"/>
  <c r="AO6" i="19"/>
  <c r="I58" i="19"/>
  <c r="D58" i="19"/>
  <c r="E58" i="19" s="1"/>
  <c r="C58" i="19"/>
  <c r="F58" i="19" s="1"/>
  <c r="G58" i="19" s="1"/>
  <c r="L55" i="19"/>
  <c r="J55" i="19"/>
  <c r="I51" i="19"/>
  <c r="D51" i="19"/>
  <c r="E51" i="19" s="1"/>
  <c r="C51" i="19"/>
  <c r="F51" i="19" s="1"/>
  <c r="G51" i="19" s="1"/>
  <c r="L48" i="19"/>
  <c r="J48" i="19"/>
  <c r="I44" i="19"/>
  <c r="D44" i="19"/>
  <c r="E44" i="19" s="1"/>
  <c r="C44" i="19"/>
  <c r="F44" i="19" s="1"/>
  <c r="G44" i="19" s="1"/>
  <c r="L41" i="19"/>
  <c r="J41" i="19"/>
  <c r="I37" i="19"/>
  <c r="D37" i="19"/>
  <c r="E37" i="19" s="1"/>
  <c r="C37" i="19"/>
  <c r="L34" i="19"/>
  <c r="I30" i="19"/>
  <c r="D30" i="19"/>
  <c r="E30" i="19" s="1"/>
  <c r="C30" i="19"/>
  <c r="L27" i="19"/>
  <c r="I23" i="19"/>
  <c r="D23" i="19"/>
  <c r="E23" i="19" s="1"/>
  <c r="C23" i="19"/>
  <c r="F23" i="19" s="1"/>
  <c r="G23" i="19" s="1"/>
  <c r="L20" i="19"/>
  <c r="J20" i="19"/>
  <c r="I16" i="19"/>
  <c r="D16" i="19"/>
  <c r="E16" i="19" s="1"/>
  <c r="C16" i="19"/>
  <c r="F16" i="19" s="1"/>
  <c r="G16" i="19" s="1"/>
  <c r="L13" i="19"/>
  <c r="J13" i="19"/>
  <c r="I9" i="19"/>
  <c r="D9" i="19"/>
  <c r="E9" i="19" s="1"/>
  <c r="C9" i="19"/>
  <c r="F9" i="19" s="1"/>
  <c r="G9" i="19" s="1"/>
  <c r="L6" i="19"/>
  <c r="J6" i="19"/>
  <c r="G38" i="18"/>
  <c r="G39" i="18"/>
  <c r="G40" i="18"/>
  <c r="G51" i="18"/>
  <c r="G52" i="18"/>
  <c r="G53" i="18"/>
  <c r="J53" i="18" s="1"/>
  <c r="L53" i="18" s="1"/>
  <c r="M53" i="18" s="1"/>
  <c r="G54" i="18"/>
  <c r="G47" i="18"/>
  <c r="J47" i="18" s="1"/>
  <c r="G45" i="18"/>
  <c r="G46" i="18"/>
  <c r="L26" i="2"/>
  <c r="K54" i="18"/>
  <c r="J54" i="18"/>
  <c r="L54" i="18" s="1"/>
  <c r="M54" i="18" s="1"/>
  <c r="K40" i="18"/>
  <c r="K39" i="18"/>
  <c r="J39" i="18"/>
  <c r="J52" i="18"/>
  <c r="K53" i="18"/>
  <c r="K52" i="18"/>
  <c r="K47" i="18"/>
  <c r="K46" i="18"/>
  <c r="J46" i="18"/>
  <c r="J40" i="18"/>
  <c r="I26" i="18"/>
  <c r="M26" i="18" s="1"/>
  <c r="D26" i="18"/>
  <c r="C26" i="18"/>
  <c r="L23" i="18"/>
  <c r="G416" i="3" l="1"/>
  <c r="J413" i="3"/>
  <c r="N409" i="3"/>
  <c r="L409" i="3"/>
  <c r="N402" i="3"/>
  <c r="L402" i="3"/>
  <c r="N395" i="3"/>
  <c r="L395" i="3"/>
  <c r="N388" i="3"/>
  <c r="L388" i="3"/>
  <c r="N381" i="3"/>
  <c r="L381" i="3"/>
  <c r="F36" i="22"/>
  <c r="G36" i="22" s="1"/>
  <c r="F29" i="22"/>
  <c r="J26" i="22" s="1"/>
  <c r="J29" i="22" s="1"/>
  <c r="F21" i="22"/>
  <c r="J18" i="22" s="1"/>
  <c r="J21" i="22" s="1"/>
  <c r="K21" i="22" s="1"/>
  <c r="L21" i="22" s="1"/>
  <c r="I33" i="23"/>
  <c r="M9" i="23"/>
  <c r="I21" i="23"/>
  <c r="G28" i="23"/>
  <c r="J25" i="23"/>
  <c r="J28" i="23" s="1" a="1"/>
  <c r="J28" i="23" s="1"/>
  <c r="G9" i="23"/>
  <c r="J6" i="23"/>
  <c r="G17" i="23"/>
  <c r="N497" i="3"/>
  <c r="L497" i="3"/>
  <c r="N488" i="3"/>
  <c r="L488" i="3"/>
  <c r="BO51" i="19"/>
  <c r="BA44" i="19"/>
  <c r="AJ9" i="19"/>
  <c r="AM6" i="19"/>
  <c r="AN6" i="19" s="1"/>
  <c r="AQ6" i="19" s="1"/>
  <c r="BB58" i="19"/>
  <c r="BD58" i="19"/>
  <c r="AW37" i="19"/>
  <c r="AZ34" i="19"/>
  <c r="BD44" i="19"/>
  <c r="BB44" i="19"/>
  <c r="BJ16" i="19"/>
  <c r="Z65" i="19"/>
  <c r="AB65" i="19"/>
  <c r="BR51" i="19"/>
  <c r="BP51" i="19"/>
  <c r="BR44" i="19"/>
  <c r="BP44" i="19"/>
  <c r="BK65" i="19"/>
  <c r="BN62" i="19"/>
  <c r="T30" i="19"/>
  <c r="AW30" i="19"/>
  <c r="AZ27" i="19"/>
  <c r="BK23" i="19"/>
  <c r="BN20" i="19"/>
  <c r="X6" i="19"/>
  <c r="U9" i="19"/>
  <c r="AZ62" i="19"/>
  <c r="AW65" i="19"/>
  <c r="AZ13" i="19"/>
  <c r="AW16" i="19"/>
  <c r="BB23" i="19"/>
  <c r="BD23" i="19"/>
  <c r="AZ6" i="19"/>
  <c r="AW9" i="19"/>
  <c r="U23" i="19"/>
  <c r="X20" i="19"/>
  <c r="F30" i="19"/>
  <c r="J62" i="19"/>
  <c r="J65" i="19" s="1"/>
  <c r="K65" i="19" s="1"/>
  <c r="BC37" i="19"/>
  <c r="X37" i="19"/>
  <c r="Y37" i="19" s="1"/>
  <c r="U51" i="19"/>
  <c r="BQ23" i="19"/>
  <c r="BK58" i="19"/>
  <c r="BN34" i="19"/>
  <c r="AA51" i="19"/>
  <c r="X41" i="19"/>
  <c r="X55" i="19"/>
  <c r="BN6" i="19"/>
  <c r="BC9" i="19"/>
  <c r="X13" i="19"/>
  <c r="BO58" i="19"/>
  <c r="BQ58" i="19"/>
  <c r="AA30" i="19"/>
  <c r="X51" i="19"/>
  <c r="Y51" i="19" s="1"/>
  <c r="Y48" i="19"/>
  <c r="AB48" i="19" s="1"/>
  <c r="AV51" i="19"/>
  <c r="F37" i="19"/>
  <c r="J8" i="21"/>
  <c r="K5" i="21"/>
  <c r="N5" i="21" s="1"/>
  <c r="M8" i="21"/>
  <c r="K8" i="21"/>
  <c r="I21" i="20"/>
  <c r="K21" i="20" s="1"/>
  <c r="K18" i="20"/>
  <c r="J18" i="20"/>
  <c r="K19" i="20"/>
  <c r="J19" i="20"/>
  <c r="K20" i="20"/>
  <c r="J20" i="20"/>
  <c r="G21" i="20"/>
  <c r="I10" i="20"/>
  <c r="I13" i="20" s="1"/>
  <c r="G5" i="20"/>
  <c r="I3" i="20"/>
  <c r="I476" i="3"/>
  <c r="I472" i="3"/>
  <c r="F453" i="3"/>
  <c r="G453" i="3" s="1"/>
  <c r="E461" i="3"/>
  <c r="E440" i="3"/>
  <c r="E469" i="3"/>
  <c r="C469" i="3"/>
  <c r="F469" i="3" s="1"/>
  <c r="I444" i="3"/>
  <c r="F433" i="3"/>
  <c r="G433" i="3" s="1"/>
  <c r="M462" i="3"/>
  <c r="M461" i="3"/>
  <c r="C461" i="3"/>
  <c r="F461" i="3" s="1"/>
  <c r="M441" i="3"/>
  <c r="M444" i="3" s="1"/>
  <c r="M440" i="3"/>
  <c r="C440" i="3"/>
  <c r="F426" i="3"/>
  <c r="G426" i="3" s="1"/>
  <c r="V34" i="14"/>
  <c r="W34" i="14" s="1"/>
  <c r="Z35" i="14"/>
  <c r="AD34" i="14"/>
  <c r="AA25" i="14"/>
  <c r="AB22" i="14"/>
  <c r="AE22" i="14" s="1"/>
  <c r="AD25" i="14"/>
  <c r="AB25" i="14"/>
  <c r="K62" i="19"/>
  <c r="N62" i="19" s="1"/>
  <c r="M65" i="19"/>
  <c r="AQ55" i="19" a="1"/>
  <c r="AQ55" i="19" s="1"/>
  <c r="AM58" i="19" a="1"/>
  <c r="AM58" i="19" s="1"/>
  <c r="AN58" i="19" s="1"/>
  <c r="AQ48" i="19" a="1"/>
  <c r="AQ48" i="19" s="1"/>
  <c r="AM51" i="19" a="1"/>
  <c r="AM51" i="19" s="1"/>
  <c r="AN51" i="19" s="1"/>
  <c r="AM9" i="19"/>
  <c r="AN9" i="19" s="1"/>
  <c r="J58" i="19"/>
  <c r="K58" i="19" s="1"/>
  <c r="K55" i="19"/>
  <c r="N55" i="19" s="1"/>
  <c r="M58" i="19"/>
  <c r="J51" i="19"/>
  <c r="K48" i="19"/>
  <c r="N48" i="19" s="1"/>
  <c r="M51" i="19"/>
  <c r="K51" i="19"/>
  <c r="J44" i="19"/>
  <c r="K44" i="19" s="1"/>
  <c r="K41" i="19"/>
  <c r="N41" i="19" s="1"/>
  <c r="M44" i="19"/>
  <c r="M37" i="19"/>
  <c r="M30" i="19"/>
  <c r="J23" i="19"/>
  <c r="K23" i="19" s="1"/>
  <c r="K20" i="19"/>
  <c r="N20" i="19" s="1"/>
  <c r="M23" i="19"/>
  <c r="J16" i="19"/>
  <c r="K16" i="19" s="1"/>
  <c r="K13" i="19"/>
  <c r="N13" i="19" s="1"/>
  <c r="M16" i="19"/>
  <c r="J9" i="19"/>
  <c r="K6" i="19"/>
  <c r="N6" i="19" s="1"/>
  <c r="M9" i="19"/>
  <c r="K9" i="19"/>
  <c r="L52" i="18"/>
  <c r="M52" i="18" s="1"/>
  <c r="F34" i="18" s="1"/>
  <c r="D33" i="18"/>
  <c r="L40" i="18"/>
  <c r="M40" i="18" s="1"/>
  <c r="D32" i="18"/>
  <c r="E34" i="18"/>
  <c r="D34" i="18"/>
  <c r="L46" i="18"/>
  <c r="M46" i="18" s="1"/>
  <c r="L39" i="18"/>
  <c r="L47" i="18"/>
  <c r="M47" i="18" s="1"/>
  <c r="E26" i="18"/>
  <c r="F26" i="18" s="1"/>
  <c r="G26" i="18" s="1"/>
  <c r="J416" i="3" l="1"/>
  <c r="K416" i="3" s="1"/>
  <c r="K413" i="3"/>
  <c r="N413" i="3" s="1"/>
  <c r="K29" i="22"/>
  <c r="C9" i="22"/>
  <c r="G29" i="22"/>
  <c r="J33" i="22"/>
  <c r="J36" i="22" s="1"/>
  <c r="K36" i="22" s="1"/>
  <c r="N36" i="22" s="1"/>
  <c r="L29" i="22"/>
  <c r="N29" i="22"/>
  <c r="G21" i="22"/>
  <c r="N21" i="22"/>
  <c r="K25" i="23"/>
  <c r="N25" i="23" s="1" a="1"/>
  <c r="N25" i="23" s="1"/>
  <c r="K28" i="23"/>
  <c r="J9" i="23"/>
  <c r="K6" i="23"/>
  <c r="N6" i="23" s="1"/>
  <c r="M33" i="23"/>
  <c r="M21" i="23"/>
  <c r="J17" i="23"/>
  <c r="K17" i="23" s="1"/>
  <c r="N17" i="23" s="1"/>
  <c r="K14" i="23"/>
  <c r="N14" i="23" s="1"/>
  <c r="Z51" i="19"/>
  <c r="AB51" i="19"/>
  <c r="BK16" i="19"/>
  <c r="BN13" i="19"/>
  <c r="X16" i="19"/>
  <c r="Y16" i="19" s="1"/>
  <c r="Y13" i="19"/>
  <c r="AB13" i="19" s="1"/>
  <c r="U30" i="19"/>
  <c r="X27" i="19"/>
  <c r="AZ37" i="19"/>
  <c r="BA37" i="19" s="1"/>
  <c r="BA34" i="19"/>
  <c r="BD34" i="19" s="1"/>
  <c r="AB37" i="19"/>
  <c r="Z37" i="19"/>
  <c r="BN65" i="19"/>
  <c r="BO65" i="19" s="1"/>
  <c r="BO62" i="19"/>
  <c r="BR62" i="19" s="1"/>
  <c r="BO20" i="19"/>
  <c r="BR20" i="19" s="1"/>
  <c r="BN23" i="19"/>
  <c r="BO23" i="19" s="1"/>
  <c r="BP58" i="19"/>
  <c r="BR58" i="19"/>
  <c r="BN37" i="19"/>
  <c r="BO37" i="19" s="1"/>
  <c r="BO34" i="19"/>
  <c r="BR34" i="19" s="1"/>
  <c r="AZ30" i="19"/>
  <c r="BA30" i="19" s="1"/>
  <c r="BA27" i="19"/>
  <c r="BD27" i="19" s="1"/>
  <c r="BA13" i="19"/>
  <c r="BD13" i="19" s="1"/>
  <c r="AZ16" i="19"/>
  <c r="BA16" i="19" s="1"/>
  <c r="BN9" i="19"/>
  <c r="BO9" i="19" s="1"/>
  <c r="BO6" i="19"/>
  <c r="BR6" i="19" s="1"/>
  <c r="X58" i="19"/>
  <c r="Y58" i="19" s="1"/>
  <c r="Y55" i="19"/>
  <c r="AB55" i="19" s="1"/>
  <c r="X23" i="19"/>
  <c r="Y23" i="19" s="1"/>
  <c r="Y20" i="19"/>
  <c r="AB20" i="19" s="1"/>
  <c r="Y6" i="19"/>
  <c r="AB6" i="19" s="1"/>
  <c r="X9" i="19"/>
  <c r="Y9" i="19" s="1"/>
  <c r="AZ9" i="19"/>
  <c r="BA9" i="19" s="1"/>
  <c r="BA6" i="19"/>
  <c r="BD6" i="19" s="1"/>
  <c r="G37" i="19"/>
  <c r="J34" i="19"/>
  <c r="AW51" i="19"/>
  <c r="AZ48" i="19"/>
  <c r="X44" i="19"/>
  <c r="Y44" i="19" s="1"/>
  <c r="Y41" i="19"/>
  <c r="AB41" i="19" s="1"/>
  <c r="G30" i="19"/>
  <c r="J27" i="19"/>
  <c r="BA62" i="19"/>
  <c r="BD62" i="19" s="1"/>
  <c r="AZ65" i="19"/>
  <c r="BA65" i="19" s="1"/>
  <c r="N8" i="21"/>
  <c r="L8" i="21"/>
  <c r="J21" i="20"/>
  <c r="K13" i="20"/>
  <c r="K10" i="20"/>
  <c r="I5" i="20"/>
  <c r="K5" i="20" s="1"/>
  <c r="K3" i="20"/>
  <c r="M472" i="3"/>
  <c r="M476" i="3"/>
  <c r="F440" i="3"/>
  <c r="G440" i="3" s="1"/>
  <c r="J450" i="3"/>
  <c r="J430" i="3"/>
  <c r="J433" i="3" s="1"/>
  <c r="K433" i="3" s="1"/>
  <c r="N433" i="3" s="1"/>
  <c r="J466" i="3"/>
  <c r="G469" i="3"/>
  <c r="J423" i="3"/>
  <c r="G461" i="3"/>
  <c r="J458" i="3"/>
  <c r="J453" i="3"/>
  <c r="K450" i="3"/>
  <c r="N450" i="3" s="1"/>
  <c r="AD35" i="14"/>
  <c r="X34" i="14"/>
  <c r="AA31" i="14"/>
  <c r="AE25" i="14"/>
  <c r="AC25" i="14"/>
  <c r="N65" i="19"/>
  <c r="L65" i="19"/>
  <c r="AO51" i="19"/>
  <c r="AQ51" i="19"/>
  <c r="AO58" i="19"/>
  <c r="AQ58" i="19"/>
  <c r="AO9" i="19"/>
  <c r="AQ9" i="19"/>
  <c r="N58" i="19"/>
  <c r="L58" i="19"/>
  <c r="N51" i="19"/>
  <c r="L51" i="19"/>
  <c r="N44" i="19"/>
  <c r="L44" i="19"/>
  <c r="N23" i="19"/>
  <c r="L23" i="19"/>
  <c r="N16" i="19"/>
  <c r="L16" i="19"/>
  <c r="N9" i="19"/>
  <c r="L9" i="19"/>
  <c r="M39" i="18"/>
  <c r="F32" i="18" s="1"/>
  <c r="F33" i="18"/>
  <c r="E32" i="18"/>
  <c r="E33" i="18"/>
  <c r="J23" i="18"/>
  <c r="K23" i="18" s="1"/>
  <c r="N23" i="18" s="1" a="1"/>
  <c r="N23" i="18" s="1"/>
  <c r="N416" i="3" l="1"/>
  <c r="L416" i="3"/>
  <c r="X19" i="22"/>
  <c r="X21" i="22" s="1"/>
  <c r="AC19" i="22"/>
  <c r="AC21" i="22" s="1"/>
  <c r="Y19" i="22"/>
  <c r="Y21" i="22" s="1"/>
  <c r="Z19" i="22"/>
  <c r="Z21" i="22" s="1"/>
  <c r="AA19" i="22"/>
  <c r="AA21" i="22" s="1"/>
  <c r="AB19" i="22"/>
  <c r="AB21" i="22" s="1"/>
  <c r="W19" i="22"/>
  <c r="W21" i="22" s="1"/>
  <c r="U19" i="22"/>
  <c r="U21" i="22" s="1"/>
  <c r="V19" i="22"/>
  <c r="V21" i="22" s="1"/>
  <c r="L36" i="22"/>
  <c r="N28" i="23"/>
  <c r="L17" i="23"/>
  <c r="J33" i="23"/>
  <c r="K9" i="23"/>
  <c r="K33" i="23" s="1"/>
  <c r="L33" i="23" s="1"/>
  <c r="L28" i="23"/>
  <c r="J21" i="23"/>
  <c r="BB9" i="19"/>
  <c r="BD9" i="19"/>
  <c r="AB9" i="19"/>
  <c r="Z9" i="19"/>
  <c r="Y27" i="19"/>
  <c r="AB27" i="19" s="1"/>
  <c r="X30" i="19"/>
  <c r="Y30" i="19" s="1"/>
  <c r="Z23" i="19"/>
  <c r="AB23" i="19"/>
  <c r="Z16" i="19"/>
  <c r="AB16" i="19"/>
  <c r="J37" i="19"/>
  <c r="K37" i="19" s="1"/>
  <c r="K34" i="19"/>
  <c r="N34" i="19" s="1"/>
  <c r="BB37" i="19"/>
  <c r="BD37" i="19"/>
  <c r="BP37" i="19"/>
  <c r="BR37" i="19"/>
  <c r="BP23" i="19"/>
  <c r="BR23" i="19"/>
  <c r="BN16" i="19"/>
  <c r="BO16" i="19" s="1"/>
  <c r="BO13" i="19"/>
  <c r="BR13" i="19" s="1"/>
  <c r="BD30" i="19"/>
  <c r="BB30" i="19"/>
  <c r="AB44" i="19"/>
  <c r="Z44" i="19"/>
  <c r="BD65" i="19"/>
  <c r="BB65" i="19"/>
  <c r="K27" i="19"/>
  <c r="N27" i="19" s="1"/>
  <c r="J30" i="19"/>
  <c r="K30" i="19" s="1"/>
  <c r="BD16" i="19"/>
  <c r="BB16" i="19"/>
  <c r="AB58" i="19"/>
  <c r="Z58" i="19"/>
  <c r="AZ51" i="19"/>
  <c r="BA51" i="19" s="1"/>
  <c r="BA48" i="19"/>
  <c r="BD48" i="19" s="1"/>
  <c r="BR9" i="19"/>
  <c r="BP9" i="19"/>
  <c r="BR65" i="19"/>
  <c r="BP65" i="19"/>
  <c r="K453" i="3"/>
  <c r="J426" i="3"/>
  <c r="K426" i="3" s="1"/>
  <c r="L433" i="3"/>
  <c r="J437" i="3"/>
  <c r="K437" i="3" s="1"/>
  <c r="N437" i="3" s="1"/>
  <c r="K430" i="3"/>
  <c r="N430" i="3" s="1"/>
  <c r="K423" i="3"/>
  <c r="N423" i="3" s="1"/>
  <c r="K466" i="3"/>
  <c r="N466" i="3" s="1"/>
  <c r="J469" i="3"/>
  <c r="K469" i="3" s="1"/>
  <c r="J462" i="3"/>
  <c r="J472" i="3" s="1"/>
  <c r="K458" i="3"/>
  <c r="N458" i="3" s="1"/>
  <c r="J461" i="3"/>
  <c r="K461" i="3" s="1"/>
  <c r="J441" i="3"/>
  <c r="AA35" i="14"/>
  <c r="AB35" i="14" s="1"/>
  <c r="AA34" i="14"/>
  <c r="AB34" i="14" s="1"/>
  <c r="AB31" i="14"/>
  <c r="AE31" i="14" s="1"/>
  <c r="J26" i="18" a="1"/>
  <c r="J26" i="18" s="1"/>
  <c r="K26" i="18" s="1"/>
  <c r="N26" i="18" s="1"/>
  <c r="N9" i="23" l="1"/>
  <c r="L9" i="23"/>
  <c r="K21" i="23"/>
  <c r="L21" i="23" s="1"/>
  <c r="BB51" i="19"/>
  <c r="BD51" i="19"/>
  <c r="Z30" i="19"/>
  <c r="AB30" i="19"/>
  <c r="BP16" i="19"/>
  <c r="BR16" i="19"/>
  <c r="L37" i="19"/>
  <c r="N37" i="19"/>
  <c r="N30" i="19"/>
  <c r="L30" i="19"/>
  <c r="J440" i="3"/>
  <c r="K440" i="3" s="1"/>
  <c r="N426" i="3"/>
  <c r="L426" i="3"/>
  <c r="L453" i="3"/>
  <c r="N453" i="3"/>
  <c r="J476" i="3"/>
  <c r="N469" i="3"/>
  <c r="L469" i="3"/>
  <c r="K462" i="3"/>
  <c r="K472" i="3" s="1"/>
  <c r="L472" i="3" s="1"/>
  <c r="K441" i="3"/>
  <c r="K444" i="3" s="1"/>
  <c r="L444" i="3" s="1"/>
  <c r="J444" i="3"/>
  <c r="N461" i="3"/>
  <c r="L461" i="3"/>
  <c r="N440" i="3"/>
  <c r="L440" i="3"/>
  <c r="AE34" i="14"/>
  <c r="AC34" i="14"/>
  <c r="AE35" i="14"/>
  <c r="AC35" i="14"/>
  <c r="L26" i="18"/>
  <c r="N33" i="23" l="1"/>
  <c r="N21" i="23"/>
  <c r="K476" i="3"/>
  <c r="L462" i="3"/>
  <c r="L476" i="3" s="1"/>
  <c r="N462" i="3"/>
  <c r="N476" i="3"/>
  <c r="N472" i="3"/>
  <c r="L441" i="3"/>
  <c r="N441" i="3"/>
  <c r="N444" i="3" s="1"/>
  <c r="I17" i="18"/>
  <c r="M17" i="18" s="1"/>
  <c r="D17" i="18"/>
  <c r="E17" i="18" s="1"/>
  <c r="C17" i="18"/>
  <c r="N14" i="18"/>
  <c r="I9" i="18"/>
  <c r="M9" i="18" s="1"/>
  <c r="D9" i="18"/>
  <c r="E9" i="18" s="1"/>
  <c r="C9" i="18"/>
  <c r="N6" i="18"/>
  <c r="C374" i="3"/>
  <c r="D374" i="3"/>
  <c r="E374" i="3" s="1"/>
  <c r="I374" i="3"/>
  <c r="M374" i="3" s="1"/>
  <c r="L371" i="3"/>
  <c r="G12" i="17"/>
  <c r="C12" i="17"/>
  <c r="G11" i="17"/>
  <c r="C11" i="17"/>
  <c r="H10" i="17"/>
  <c r="G10" i="17"/>
  <c r="F10" i="17"/>
  <c r="E10" i="17"/>
  <c r="D10" i="17"/>
  <c r="C10" i="17"/>
  <c r="G9" i="17"/>
  <c r="C9" i="17"/>
  <c r="G8" i="17"/>
  <c r="C8" i="17"/>
  <c r="I53" i="17"/>
  <c r="D53" i="17"/>
  <c r="E53" i="17" s="1"/>
  <c r="C53" i="17"/>
  <c r="F53" i="17" s="1"/>
  <c r="L50" i="17"/>
  <c r="I46" i="17"/>
  <c r="M46" i="17" s="1"/>
  <c r="D46" i="17"/>
  <c r="E46" i="17" s="1"/>
  <c r="C46" i="17"/>
  <c r="L43" i="17"/>
  <c r="L22" i="17"/>
  <c r="C25" i="17"/>
  <c r="D25" i="17"/>
  <c r="I25" i="17"/>
  <c r="L29" i="17"/>
  <c r="C32" i="17"/>
  <c r="D32" i="17"/>
  <c r="E32" i="17" s="1"/>
  <c r="I32" i="17"/>
  <c r="M32" i="17" s="1"/>
  <c r="L36" i="17"/>
  <c r="C39" i="17"/>
  <c r="D39" i="17"/>
  <c r="E39" i="17" s="1"/>
  <c r="I39" i="17"/>
  <c r="M39" i="17" s="1"/>
  <c r="H5" i="17"/>
  <c r="H6" i="17" s="1"/>
  <c r="G5" i="17"/>
  <c r="G6" i="17" s="1"/>
  <c r="F5" i="17"/>
  <c r="F6" i="17" s="1"/>
  <c r="E5" i="17"/>
  <c r="E6" i="17" s="1"/>
  <c r="D5" i="17"/>
  <c r="D6" i="17" s="1"/>
  <c r="C5" i="17"/>
  <c r="C6" i="17" s="1"/>
  <c r="I149" i="14"/>
  <c r="D149" i="14"/>
  <c r="E149" i="14" s="1"/>
  <c r="C149" i="14"/>
  <c r="F149" i="14" s="1"/>
  <c r="G149" i="14" s="1"/>
  <c r="L146" i="14"/>
  <c r="J146" i="14"/>
  <c r="I142" i="14"/>
  <c r="D142" i="14"/>
  <c r="E142" i="14" s="1"/>
  <c r="C142" i="14"/>
  <c r="F142" i="14" s="1"/>
  <c r="G142" i="14" s="1"/>
  <c r="L139" i="14"/>
  <c r="J139" i="14"/>
  <c r="I135" i="14"/>
  <c r="D135" i="14"/>
  <c r="E135" i="14" s="1"/>
  <c r="C135" i="14"/>
  <c r="F135" i="14" s="1"/>
  <c r="G135" i="14" s="1"/>
  <c r="L132" i="14"/>
  <c r="J132" i="14"/>
  <c r="I36" i="15"/>
  <c r="D36" i="15"/>
  <c r="E36" i="15" s="1"/>
  <c r="C36" i="15"/>
  <c r="F36" i="15" s="1"/>
  <c r="G36" i="15" s="1"/>
  <c r="L33" i="15"/>
  <c r="J33" i="15"/>
  <c r="I29" i="15"/>
  <c r="D29" i="15"/>
  <c r="E29" i="15" s="1"/>
  <c r="C29" i="15"/>
  <c r="F29" i="15" s="1"/>
  <c r="G29" i="15" s="1"/>
  <c r="L26" i="15"/>
  <c r="J26" i="15"/>
  <c r="I22" i="15"/>
  <c r="D22" i="15"/>
  <c r="E22" i="15" s="1"/>
  <c r="C22" i="15"/>
  <c r="F22" i="15" s="1"/>
  <c r="G22" i="15" s="1"/>
  <c r="L19" i="15"/>
  <c r="J19" i="15"/>
  <c r="I15" i="15"/>
  <c r="D15" i="15"/>
  <c r="E15" i="15" s="1"/>
  <c r="C15" i="15"/>
  <c r="F15" i="15" s="1"/>
  <c r="G15" i="15" s="1"/>
  <c r="L12" i="15"/>
  <c r="J12" i="15"/>
  <c r="I8" i="15"/>
  <c r="D8" i="15"/>
  <c r="E8" i="15" s="1"/>
  <c r="C8" i="15"/>
  <c r="F8" i="15" s="1"/>
  <c r="G8" i="15" s="1"/>
  <c r="L5" i="15"/>
  <c r="J5" i="15"/>
  <c r="I367" i="3"/>
  <c r="D367" i="3"/>
  <c r="E367" i="3" s="1"/>
  <c r="C367" i="3"/>
  <c r="F367" i="3" s="1"/>
  <c r="L364" i="3"/>
  <c r="B359" i="3"/>
  <c r="I359" i="3"/>
  <c r="I360" i="3" s="1"/>
  <c r="D359" i="3"/>
  <c r="L356" i="3"/>
  <c r="I128" i="14"/>
  <c r="D128" i="14"/>
  <c r="E128" i="14" s="1"/>
  <c r="C128" i="14"/>
  <c r="F128" i="14" s="1"/>
  <c r="G128" i="14" s="1"/>
  <c r="L125" i="14"/>
  <c r="J125" i="14"/>
  <c r="I350" i="3"/>
  <c r="D350" i="3"/>
  <c r="E350" i="3" s="1"/>
  <c r="C350" i="3"/>
  <c r="L347" i="3"/>
  <c r="P13" i="14"/>
  <c r="N13" i="14"/>
  <c r="Q13" i="14" s="1"/>
  <c r="P12" i="14"/>
  <c r="N12" i="14"/>
  <c r="Q12" i="14" s="1"/>
  <c r="P11" i="14"/>
  <c r="N11" i="14"/>
  <c r="Q11" i="14" s="1"/>
  <c r="P10" i="14"/>
  <c r="N10" i="14"/>
  <c r="Q10" i="14" s="1"/>
  <c r="P9" i="14"/>
  <c r="N9" i="14"/>
  <c r="Q9" i="14" s="1"/>
  <c r="I65" i="14"/>
  <c r="I66" i="14" s="1"/>
  <c r="C12" i="14" s="1"/>
  <c r="D65" i="14"/>
  <c r="E65" i="14" s="1"/>
  <c r="C65" i="14"/>
  <c r="F65" i="14" s="1"/>
  <c r="G65" i="14" s="1"/>
  <c r="L62" i="14"/>
  <c r="J62" i="14"/>
  <c r="M17" i="14"/>
  <c r="Q5" i="14"/>
  <c r="Q6" i="14" s="1"/>
  <c r="P5" i="14"/>
  <c r="P6" i="14" s="1"/>
  <c r="O5" i="14"/>
  <c r="O6" i="14" s="1"/>
  <c r="N5" i="14"/>
  <c r="N6" i="14" s="1"/>
  <c r="M5" i="14"/>
  <c r="M6" i="14" s="1"/>
  <c r="L5" i="14"/>
  <c r="L6" i="14" s="1"/>
  <c r="I58" i="14"/>
  <c r="C11" i="14" s="1"/>
  <c r="G11" i="14" s="1"/>
  <c r="D58" i="14"/>
  <c r="E58" i="14" s="1"/>
  <c r="C58" i="14"/>
  <c r="F58" i="14" s="1"/>
  <c r="G58" i="14" s="1"/>
  <c r="L55" i="14"/>
  <c r="J55" i="14"/>
  <c r="I343" i="3"/>
  <c r="D343" i="3"/>
  <c r="E343" i="3" s="1"/>
  <c r="C343" i="3"/>
  <c r="L340" i="3"/>
  <c r="I336" i="3"/>
  <c r="D336" i="3"/>
  <c r="E336" i="3" s="1"/>
  <c r="C336" i="3"/>
  <c r="L333" i="3"/>
  <c r="I329" i="3"/>
  <c r="D329" i="3"/>
  <c r="E329" i="3" s="1"/>
  <c r="C329" i="3"/>
  <c r="L326" i="3"/>
  <c r="I121" i="14"/>
  <c r="D121" i="14"/>
  <c r="E121" i="14" s="1"/>
  <c r="C121" i="14"/>
  <c r="F121" i="14" s="1"/>
  <c r="G121" i="14" s="1"/>
  <c r="L118" i="14"/>
  <c r="J118" i="14"/>
  <c r="I114" i="14"/>
  <c r="D114" i="14"/>
  <c r="E114" i="14" s="1"/>
  <c r="C114" i="14"/>
  <c r="F114" i="14" s="1"/>
  <c r="G114" i="14" s="1"/>
  <c r="L111" i="14"/>
  <c r="J111" i="14"/>
  <c r="I107" i="14"/>
  <c r="D107" i="14"/>
  <c r="E107" i="14" s="1"/>
  <c r="C107" i="14"/>
  <c r="F107" i="14" s="1"/>
  <c r="G107" i="14" s="1"/>
  <c r="L104" i="14"/>
  <c r="J104" i="14"/>
  <c r="I100" i="14"/>
  <c r="D100" i="14"/>
  <c r="E100" i="14" s="1"/>
  <c r="C100" i="14"/>
  <c r="F100" i="14" s="1"/>
  <c r="G100" i="14" s="1"/>
  <c r="L97" i="14"/>
  <c r="J97" i="14"/>
  <c r="I322" i="3"/>
  <c r="D322" i="3"/>
  <c r="E322" i="3" s="1"/>
  <c r="C322" i="3"/>
  <c r="L319" i="3"/>
  <c r="C9" i="14"/>
  <c r="G9" i="14" s="1"/>
  <c r="I93" i="14"/>
  <c r="D93" i="14"/>
  <c r="E93" i="14" s="1"/>
  <c r="C93" i="14"/>
  <c r="F93" i="14" s="1"/>
  <c r="G93" i="14" s="1"/>
  <c r="L90" i="14"/>
  <c r="J90" i="14"/>
  <c r="I85" i="14"/>
  <c r="D85" i="14"/>
  <c r="E85" i="14" s="1"/>
  <c r="C85" i="14"/>
  <c r="F85" i="14" s="1"/>
  <c r="G85" i="14" s="1"/>
  <c r="L82" i="14"/>
  <c r="J82" i="14"/>
  <c r="I314" i="3"/>
  <c r="D314" i="3"/>
  <c r="E314" i="3" s="1"/>
  <c r="C314" i="3"/>
  <c r="L311" i="3"/>
  <c r="I307" i="3"/>
  <c r="D307" i="3"/>
  <c r="E307" i="3" s="1"/>
  <c r="C307" i="3"/>
  <c r="L304" i="3"/>
  <c r="I300" i="3"/>
  <c r="D300" i="3"/>
  <c r="E300" i="3" s="1"/>
  <c r="C300" i="3"/>
  <c r="L297" i="3"/>
  <c r="I78" i="14"/>
  <c r="D78" i="14"/>
  <c r="L75" i="14"/>
  <c r="B25" i="14"/>
  <c r="I51" i="14"/>
  <c r="M51" i="14" s="1"/>
  <c r="D51" i="14"/>
  <c r="L48" i="14"/>
  <c r="I42" i="14"/>
  <c r="M42" i="14" s="1"/>
  <c r="D42" i="14"/>
  <c r="E42" i="14" s="1"/>
  <c r="C42" i="14"/>
  <c r="L39" i="14"/>
  <c r="M26" i="14"/>
  <c r="H23" i="14"/>
  <c r="H22" i="14"/>
  <c r="B34" i="14"/>
  <c r="C34" i="14" s="1"/>
  <c r="I34" i="14"/>
  <c r="L31" i="14"/>
  <c r="I25" i="14"/>
  <c r="D25" i="14"/>
  <c r="L22" i="14"/>
  <c r="I293" i="3"/>
  <c r="M293" i="3" s="1"/>
  <c r="D293" i="3"/>
  <c r="E293" i="3" s="1"/>
  <c r="F293" i="3" s="1"/>
  <c r="L290" i="3"/>
  <c r="I27" i="2"/>
  <c r="I26" i="2"/>
  <c r="H24" i="2"/>
  <c r="M27" i="2"/>
  <c r="G24" i="2"/>
  <c r="H23" i="2"/>
  <c r="X62" i="6"/>
  <c r="S62" i="6"/>
  <c r="R62" i="6"/>
  <c r="T62" i="6" s="1"/>
  <c r="U62" i="6" s="1"/>
  <c r="V62" i="6" s="1"/>
  <c r="AA59" i="6"/>
  <c r="Y59" i="6"/>
  <c r="X55" i="6"/>
  <c r="S55" i="6"/>
  <c r="R55" i="6"/>
  <c r="T55" i="6" s="1"/>
  <c r="U55" i="6" s="1"/>
  <c r="V55" i="6" s="1"/>
  <c r="AA52" i="6"/>
  <c r="Y52" i="6"/>
  <c r="X48" i="6"/>
  <c r="R38" i="6" s="1"/>
  <c r="S48" i="6"/>
  <c r="R48" i="6"/>
  <c r="T48" i="6" s="1"/>
  <c r="U48" i="6" s="1"/>
  <c r="V48" i="6" s="1"/>
  <c r="AA45" i="6"/>
  <c r="Y45" i="6"/>
  <c r="V41" i="6"/>
  <c r="U41" i="6"/>
  <c r="V40" i="6"/>
  <c r="U40" i="6"/>
  <c r="V39" i="6"/>
  <c r="V42" i="6" s="1"/>
  <c r="U39" i="6"/>
  <c r="U42" i="6" s="1"/>
  <c r="E6" i="13"/>
  <c r="G6" i="13" s="1"/>
  <c r="E5" i="13"/>
  <c r="G5" i="13" s="1"/>
  <c r="G7" i="13" s="1"/>
  <c r="G9" i="13" s="1"/>
  <c r="F25" i="12"/>
  <c r="G25" i="12" s="1"/>
  <c r="G24" i="12"/>
  <c r="F24" i="12"/>
  <c r="F23" i="12"/>
  <c r="G23" i="12" s="1"/>
  <c r="G26" i="12" s="1"/>
  <c r="G29" i="12" s="1"/>
  <c r="J21" i="12"/>
  <c r="J20" i="12"/>
  <c r="N10" i="12"/>
  <c r="O10" i="12" s="1"/>
  <c r="X9" i="12"/>
  <c r="N9" i="12"/>
  <c r="O9" i="12" s="1"/>
  <c r="F9" i="12"/>
  <c r="G9" i="12" s="1"/>
  <c r="X8" i="12"/>
  <c r="N8" i="12"/>
  <c r="O8" i="12" s="1"/>
  <c r="Y9" i="12" s="1"/>
  <c r="F8" i="12"/>
  <c r="G8" i="12" s="1"/>
  <c r="N7" i="12"/>
  <c r="O7" i="12" s="1"/>
  <c r="G7" i="12"/>
  <c r="F7" i="12"/>
  <c r="F39" i="6"/>
  <c r="F41" i="6"/>
  <c r="F40" i="6"/>
  <c r="F42" i="6"/>
  <c r="I62" i="6"/>
  <c r="G41" i="6" s="1"/>
  <c r="D62" i="6"/>
  <c r="C62" i="6"/>
  <c r="E62" i="6" s="1"/>
  <c r="F62" i="6" s="1"/>
  <c r="G62" i="6" s="1"/>
  <c r="L59" i="6"/>
  <c r="J59" i="6"/>
  <c r="I48" i="6"/>
  <c r="G39" i="6" s="1"/>
  <c r="I55" i="6"/>
  <c r="G40" i="6" s="1"/>
  <c r="D55" i="6"/>
  <c r="C55" i="6"/>
  <c r="E55" i="6" s="1"/>
  <c r="F55" i="6" s="1"/>
  <c r="G55" i="6" s="1"/>
  <c r="L52" i="6"/>
  <c r="J52" i="6"/>
  <c r="L45" i="6"/>
  <c r="M48" i="6"/>
  <c r="D48" i="6"/>
  <c r="C48" i="6"/>
  <c r="E48" i="6" s="1"/>
  <c r="F48" i="6" s="1"/>
  <c r="G48" i="6" s="1"/>
  <c r="J45" i="6"/>
  <c r="J48" i="6" s="1" a="1"/>
  <c r="J48" i="6" s="1"/>
  <c r="H39" i="6" s="1"/>
  <c r="C33" i="6"/>
  <c r="I33" i="6"/>
  <c r="M33" i="6" s="1"/>
  <c r="D33" i="6"/>
  <c r="E33" i="6"/>
  <c r="F33" i="6" s="1"/>
  <c r="G33" i="6" s="1"/>
  <c r="L30" i="6"/>
  <c r="J30" i="6"/>
  <c r="I9" i="6"/>
  <c r="C4" i="11"/>
  <c r="C3" i="11"/>
  <c r="C131" i="11"/>
  <c r="D131" i="11"/>
  <c r="E131" i="11"/>
  <c r="F131" i="11"/>
  <c r="G131" i="11"/>
  <c r="I131" i="11"/>
  <c r="M131" i="11"/>
  <c r="J128" i="11"/>
  <c r="K128" i="11"/>
  <c r="L128" i="11"/>
  <c r="N128" i="11"/>
  <c r="C124" i="11"/>
  <c r="D124" i="11"/>
  <c r="E124" i="11"/>
  <c r="F124" i="11"/>
  <c r="G124" i="11"/>
  <c r="I124" i="11"/>
  <c r="M124" i="11"/>
  <c r="J121" i="11"/>
  <c r="K121" i="11"/>
  <c r="L121" i="11"/>
  <c r="N121" i="11"/>
  <c r="C117" i="11"/>
  <c r="D117" i="11"/>
  <c r="E117" i="11"/>
  <c r="F117" i="11"/>
  <c r="G117" i="11"/>
  <c r="I117" i="11"/>
  <c r="M117" i="11"/>
  <c r="J114" i="11"/>
  <c r="K114" i="11"/>
  <c r="L114" i="11"/>
  <c r="N114" i="11"/>
  <c r="C61" i="11"/>
  <c r="D61" i="11"/>
  <c r="E61" i="11"/>
  <c r="F61" i="11"/>
  <c r="G61" i="11"/>
  <c r="I61" i="11"/>
  <c r="M61" i="11"/>
  <c r="J58" i="11"/>
  <c r="K58" i="11"/>
  <c r="L58" i="11"/>
  <c r="N58" i="11"/>
  <c r="C53" i="11"/>
  <c r="D53" i="11"/>
  <c r="E53" i="11"/>
  <c r="F53" i="11"/>
  <c r="G53" i="11"/>
  <c r="I53" i="11"/>
  <c r="M53" i="11"/>
  <c r="J50" i="11"/>
  <c r="K50" i="11"/>
  <c r="L50" i="11"/>
  <c r="N50" i="11"/>
  <c r="C46" i="11"/>
  <c r="D46" i="11"/>
  <c r="E46" i="11"/>
  <c r="F46" i="11"/>
  <c r="G46" i="11"/>
  <c r="I46" i="11"/>
  <c r="M46" i="11"/>
  <c r="J43" i="11"/>
  <c r="K43" i="11"/>
  <c r="L43" i="11"/>
  <c r="N43" i="11"/>
  <c r="D94" i="11"/>
  <c r="I110" i="11"/>
  <c r="D110" i="11"/>
  <c r="E110" i="11" s="1"/>
  <c r="C110" i="11"/>
  <c r="F110" i="11" s="1"/>
  <c r="G110" i="11" s="1"/>
  <c r="L107" i="11"/>
  <c r="I102" i="11"/>
  <c r="D102" i="11"/>
  <c r="E102" i="11" s="1"/>
  <c r="C102" i="11"/>
  <c r="L99" i="11"/>
  <c r="I94" i="11"/>
  <c r="E94" i="11"/>
  <c r="C94" i="11"/>
  <c r="L91" i="11"/>
  <c r="I86" i="11"/>
  <c r="D86" i="11"/>
  <c r="E86" i="11" s="1"/>
  <c r="C86" i="11"/>
  <c r="L83" i="11"/>
  <c r="I78" i="11"/>
  <c r="D78" i="11"/>
  <c r="E78" i="11" s="1"/>
  <c r="C78" i="11"/>
  <c r="L75" i="11"/>
  <c r="I70" i="11"/>
  <c r="D70" i="11"/>
  <c r="E70" i="11" s="1"/>
  <c r="C70" i="11"/>
  <c r="L67" i="11"/>
  <c r="I39" i="11"/>
  <c r="D39" i="11"/>
  <c r="E39" i="11" s="1"/>
  <c r="C39" i="11"/>
  <c r="L36" i="11"/>
  <c r="I31" i="11"/>
  <c r="D31" i="11"/>
  <c r="E31" i="11" s="1"/>
  <c r="C31" i="11"/>
  <c r="F31" i="11" s="1"/>
  <c r="G31" i="11" s="1"/>
  <c r="L28" i="11"/>
  <c r="J28" i="11"/>
  <c r="I23" i="11"/>
  <c r="D23" i="11"/>
  <c r="E23" i="11" s="1"/>
  <c r="C23" i="11"/>
  <c r="F23" i="11" s="1"/>
  <c r="G23" i="11" s="1"/>
  <c r="N20" i="11"/>
  <c r="J20" i="11"/>
  <c r="J23" i="11" s="1"/>
  <c r="I15" i="11"/>
  <c r="D15" i="11"/>
  <c r="L12" i="11"/>
  <c r="I286" i="3"/>
  <c r="D286" i="3"/>
  <c r="E286" i="3" s="1"/>
  <c r="C286" i="3"/>
  <c r="L283" i="3"/>
  <c r="D16" i="6"/>
  <c r="I16" i="6"/>
  <c r="M16" i="6" s="1"/>
  <c r="D9" i="6"/>
  <c r="L6" i="6"/>
  <c r="E11" i="10"/>
  <c r="E10" i="10"/>
  <c r="E4" i="10"/>
  <c r="E5" i="10"/>
  <c r="E3" i="10"/>
  <c r="E6" i="10" s="1"/>
  <c r="I279" i="3"/>
  <c r="D279" i="3"/>
  <c r="E279" i="3" s="1"/>
  <c r="C279" i="3"/>
  <c r="L276" i="3"/>
  <c r="I272" i="3"/>
  <c r="D272" i="3"/>
  <c r="E272" i="3" s="1"/>
  <c r="C272" i="3"/>
  <c r="L269" i="3"/>
  <c r="I265" i="3"/>
  <c r="D265" i="3"/>
  <c r="E265" i="3" s="1"/>
  <c r="C265" i="3"/>
  <c r="L262" i="3"/>
  <c r="L7" i="3"/>
  <c r="B10" i="3"/>
  <c r="D10" i="3"/>
  <c r="I258" i="3"/>
  <c r="D258" i="3"/>
  <c r="L255" i="3"/>
  <c r="I25" i="6"/>
  <c r="M25" i="6" s="1"/>
  <c r="D25" i="6"/>
  <c r="E25" i="6" s="1"/>
  <c r="C25" i="6"/>
  <c r="L22" i="6"/>
  <c r="I249" i="3"/>
  <c r="D249" i="3"/>
  <c r="E249" i="3" s="1"/>
  <c r="C249" i="3"/>
  <c r="L246" i="3"/>
  <c r="I241" i="3"/>
  <c r="D241" i="3"/>
  <c r="E241" i="3" s="1"/>
  <c r="C241" i="3"/>
  <c r="L238" i="3"/>
  <c r="C6" i="4"/>
  <c r="I233" i="3"/>
  <c r="D233" i="3"/>
  <c r="E233" i="3" s="1"/>
  <c r="C233" i="3"/>
  <c r="L230" i="3"/>
  <c r="I225" i="3"/>
  <c r="D225" i="3"/>
  <c r="E225" i="3" s="1"/>
  <c r="C225" i="3"/>
  <c r="L222" i="3"/>
  <c r="I217" i="3"/>
  <c r="D217" i="3"/>
  <c r="E217" i="3" s="1"/>
  <c r="C217" i="3"/>
  <c r="L214" i="3"/>
  <c r="D188" i="3"/>
  <c r="E188" i="3" s="1"/>
  <c r="I209" i="3"/>
  <c r="D209" i="3"/>
  <c r="E209" i="3" s="1"/>
  <c r="C209" i="3"/>
  <c r="L206" i="3"/>
  <c r="I202" i="3"/>
  <c r="D202" i="3"/>
  <c r="E202" i="3" s="1"/>
  <c r="C202" i="3"/>
  <c r="F202" i="3" s="1"/>
  <c r="G202" i="3" s="1"/>
  <c r="L199" i="3"/>
  <c r="I195" i="3"/>
  <c r="D195" i="3"/>
  <c r="E195" i="3" s="1"/>
  <c r="C195" i="3"/>
  <c r="L192" i="3"/>
  <c r="L185" i="3"/>
  <c r="I188" i="3"/>
  <c r="C188" i="3"/>
  <c r="I181" i="3"/>
  <c r="D181" i="3"/>
  <c r="E181" i="3" s="1"/>
  <c r="C181" i="3"/>
  <c r="L178" i="3"/>
  <c r="I172" i="3"/>
  <c r="D172" i="3"/>
  <c r="E172" i="3" s="1"/>
  <c r="C172" i="3"/>
  <c r="L169" i="3"/>
  <c r="B163" i="3"/>
  <c r="C163" i="3" s="1"/>
  <c r="L160" i="3"/>
  <c r="I155" i="3"/>
  <c r="M155" i="3" s="1"/>
  <c r="I163" i="3"/>
  <c r="D163" i="3"/>
  <c r="L152" i="3"/>
  <c r="C155" i="3"/>
  <c r="D155" i="3"/>
  <c r="E155" i="3" s="1"/>
  <c r="I148" i="3"/>
  <c r="M148" i="3" s="1"/>
  <c r="D148" i="3"/>
  <c r="E148" i="3" s="1"/>
  <c r="C148" i="3"/>
  <c r="L145" i="3"/>
  <c r="L138" i="3"/>
  <c r="I141" i="3"/>
  <c r="D141" i="3"/>
  <c r="I134" i="3"/>
  <c r="D134" i="3"/>
  <c r="E134" i="3" s="1"/>
  <c r="C134" i="3"/>
  <c r="L131" i="3"/>
  <c r="G117" i="3"/>
  <c r="I127" i="3"/>
  <c r="M127" i="3" s="1"/>
  <c r="D127" i="3"/>
  <c r="E127" i="3" s="1"/>
  <c r="C127" i="3"/>
  <c r="L124" i="3"/>
  <c r="D120" i="3"/>
  <c r="L55" i="3"/>
  <c r="D14" i="4"/>
  <c r="W21" i="4"/>
  <c r="AA21" i="4"/>
  <c r="R21" i="4"/>
  <c r="S21" i="4"/>
  <c r="Q21" i="4"/>
  <c r="T21" i="4"/>
  <c r="Z18" i="4"/>
  <c r="W14" i="4"/>
  <c r="AA14" i="4"/>
  <c r="R14" i="4"/>
  <c r="S14" i="4"/>
  <c r="Q14" i="4"/>
  <c r="T14" i="4"/>
  <c r="Z11" i="4"/>
  <c r="I21" i="4"/>
  <c r="D21" i="4"/>
  <c r="E21" i="4"/>
  <c r="C21" i="4"/>
  <c r="L18" i="4"/>
  <c r="I14" i="4"/>
  <c r="M14" i="4"/>
  <c r="E14" i="4"/>
  <c r="C14" i="4"/>
  <c r="L11" i="4"/>
  <c r="I113" i="3"/>
  <c r="M113" i="3" s="1"/>
  <c r="D113" i="3"/>
  <c r="E113" i="3" s="1"/>
  <c r="C113" i="3"/>
  <c r="L110" i="3"/>
  <c r="I105" i="3"/>
  <c r="M105" i="3" s="1"/>
  <c r="D105" i="3"/>
  <c r="E105" i="3" s="1"/>
  <c r="C105" i="3"/>
  <c r="L102" i="3"/>
  <c r="N23" i="3"/>
  <c r="N15" i="3"/>
  <c r="L79" i="3"/>
  <c r="I90" i="3"/>
  <c r="M90" i="3" s="1"/>
  <c r="D90" i="3"/>
  <c r="E90" i="3" s="1"/>
  <c r="C90" i="3"/>
  <c r="L87" i="3"/>
  <c r="I98" i="3"/>
  <c r="D98" i="3"/>
  <c r="E98" i="3" s="1"/>
  <c r="C98" i="3"/>
  <c r="L95" i="3"/>
  <c r="I82" i="3"/>
  <c r="M82" i="3" s="1"/>
  <c r="D82" i="3"/>
  <c r="E82" i="3" s="1"/>
  <c r="C82" i="3"/>
  <c r="I74" i="3"/>
  <c r="M74" i="3" s="1"/>
  <c r="D74" i="3"/>
  <c r="E74" i="3" s="1"/>
  <c r="C74" i="3"/>
  <c r="L71" i="3"/>
  <c r="I66" i="3"/>
  <c r="M66" i="3" s="1"/>
  <c r="D66" i="3"/>
  <c r="E66" i="3" s="1"/>
  <c r="C66" i="3"/>
  <c r="L63" i="3"/>
  <c r="I58" i="3"/>
  <c r="M58" i="3" s="1"/>
  <c r="D58" i="3"/>
  <c r="E58" i="3" s="1"/>
  <c r="C58" i="3"/>
  <c r="I50" i="3"/>
  <c r="M50" i="3" s="1"/>
  <c r="D50" i="3"/>
  <c r="E50" i="3" s="1"/>
  <c r="C50" i="3"/>
  <c r="L47" i="3"/>
  <c r="I42" i="3"/>
  <c r="M42" i="3" s="1"/>
  <c r="D42" i="3"/>
  <c r="E42" i="3" s="1"/>
  <c r="C42" i="3"/>
  <c r="L39" i="3"/>
  <c r="I34" i="3"/>
  <c r="M34" i="3" s="1"/>
  <c r="I26" i="3"/>
  <c r="M26" i="3" s="1"/>
  <c r="I18" i="3"/>
  <c r="M18" i="3" s="1"/>
  <c r="I10" i="3"/>
  <c r="M10" i="3" s="1"/>
  <c r="D18" i="3"/>
  <c r="E18" i="3" s="1"/>
  <c r="C18" i="3"/>
  <c r="D26" i="3"/>
  <c r="E26" i="3" s="1"/>
  <c r="C26" i="3"/>
  <c r="D34" i="3"/>
  <c r="E34" i="3" s="1"/>
  <c r="C34" i="3"/>
  <c r="L31" i="3"/>
  <c r="H51" i="2"/>
  <c r="D26" i="2"/>
  <c r="C26" i="2"/>
  <c r="I18" i="2"/>
  <c r="M18" i="2"/>
  <c r="D18" i="2"/>
  <c r="E18" i="2"/>
  <c r="C18" i="2"/>
  <c r="F18" i="2"/>
  <c r="L15" i="2"/>
  <c r="I10" i="2"/>
  <c r="M10" i="2" s="1"/>
  <c r="D10" i="2"/>
  <c r="E10" i="2" s="1"/>
  <c r="C10" i="2"/>
  <c r="F10" i="2"/>
  <c r="L7" i="2"/>
  <c r="S38" i="1"/>
  <c r="K38" i="1"/>
  <c r="C38" i="1"/>
  <c r="S37" i="1"/>
  <c r="K37" i="1"/>
  <c r="C37" i="1"/>
  <c r="S36" i="1"/>
  <c r="K36" i="1"/>
  <c r="C36" i="1"/>
  <c r="S35" i="1"/>
  <c r="K35" i="1"/>
  <c r="C35" i="1"/>
  <c r="S34" i="1"/>
  <c r="K34" i="1"/>
  <c r="C34" i="1"/>
  <c r="S33" i="1"/>
  <c r="K33" i="1"/>
  <c r="C33" i="1"/>
  <c r="S32" i="1"/>
  <c r="K32" i="1"/>
  <c r="C32" i="1"/>
  <c r="S31" i="1"/>
  <c r="K31" i="1"/>
  <c r="C31" i="1"/>
  <c r="S30" i="1"/>
  <c r="K30" i="1"/>
  <c r="C30" i="1"/>
  <c r="S29" i="1"/>
  <c r="K29" i="1"/>
  <c r="C29" i="1"/>
  <c r="S28" i="1"/>
  <c r="K28" i="1"/>
  <c r="C28" i="1"/>
  <c r="S27" i="1"/>
  <c r="K27" i="1"/>
  <c r="C27" i="1"/>
  <c r="S26" i="1"/>
  <c r="K26" i="1"/>
  <c r="C26" i="1"/>
  <c r="S25" i="1"/>
  <c r="K25" i="1"/>
  <c r="C25" i="1"/>
  <c r="S24" i="1"/>
  <c r="K24" i="1"/>
  <c r="C24" i="1"/>
  <c r="S23" i="1"/>
  <c r="K23" i="1"/>
  <c r="C23" i="1"/>
  <c r="S22" i="1"/>
  <c r="K22" i="1"/>
  <c r="C22" i="1"/>
  <c r="S21" i="1"/>
  <c r="K21" i="1"/>
  <c r="C21" i="1"/>
  <c r="S20" i="1"/>
  <c r="K20" i="1"/>
  <c r="C20" i="1"/>
  <c r="S19" i="1"/>
  <c r="K19" i="1"/>
  <c r="C19" i="1"/>
  <c r="S18" i="1"/>
  <c r="K18" i="1"/>
  <c r="C18" i="1"/>
  <c r="S17" i="1"/>
  <c r="K17" i="1"/>
  <c r="C17" i="1"/>
  <c r="S16" i="1"/>
  <c r="K16" i="1"/>
  <c r="C16" i="1"/>
  <c r="S15" i="1"/>
  <c r="K15" i="1"/>
  <c r="C15" i="1"/>
  <c r="S14" i="1"/>
  <c r="K14" i="1"/>
  <c r="C14" i="1"/>
  <c r="S13" i="1"/>
  <c r="K13" i="1"/>
  <c r="C13" i="1"/>
  <c r="S12" i="1"/>
  <c r="K12" i="1"/>
  <c r="C12" i="1"/>
  <c r="S11" i="1"/>
  <c r="R11" i="1"/>
  <c r="Q11" i="1"/>
  <c r="K11" i="1"/>
  <c r="J11" i="1"/>
  <c r="J12" i="1"/>
  <c r="I12" i="1"/>
  <c r="I11" i="1"/>
  <c r="D11" i="1"/>
  <c r="C11" i="1"/>
  <c r="A11" i="1"/>
  <c r="A12" i="1"/>
  <c r="B12" i="1"/>
  <c r="T10" i="1"/>
  <c r="U10" i="1"/>
  <c r="V10" i="1"/>
  <c r="S10" i="1"/>
  <c r="Q10" i="1"/>
  <c r="K10" i="1"/>
  <c r="L10" i="1"/>
  <c r="M10" i="1"/>
  <c r="N10" i="1"/>
  <c r="I10" i="1"/>
  <c r="D10" i="1"/>
  <c r="C10" i="1"/>
  <c r="B10" i="1"/>
  <c r="S9" i="1"/>
  <c r="R9" i="1"/>
  <c r="T9" i="1" s="1"/>
  <c r="U9" i="1" s="1"/>
  <c r="V9" i="1" s="1"/>
  <c r="K9" i="1"/>
  <c r="L9" i="1"/>
  <c r="M9" i="1"/>
  <c r="N9" i="1"/>
  <c r="D9" i="1"/>
  <c r="C9" i="1"/>
  <c r="B9" i="1"/>
  <c r="M21" i="4"/>
  <c r="F14" i="4"/>
  <c r="J11" i="4"/>
  <c r="J14" i="4"/>
  <c r="Q6" i="4"/>
  <c r="U21" i="4"/>
  <c r="X18" i="4"/>
  <c r="U14" i="4"/>
  <c r="X11" i="4"/>
  <c r="F21" i="4"/>
  <c r="J18" i="4"/>
  <c r="J21" i="4"/>
  <c r="G14" i="4"/>
  <c r="M26" i="2"/>
  <c r="G10" i="2"/>
  <c r="J7" i="2"/>
  <c r="J10" i="2" s="1" a="1"/>
  <c r="J10" i="2" s="1"/>
  <c r="G18" i="2"/>
  <c r="J15" i="2"/>
  <c r="J18" i="2" a="1"/>
  <c r="J18" i="2"/>
  <c r="K18" i="2"/>
  <c r="D12" i="1"/>
  <c r="E12" i="1"/>
  <c r="F12" i="1" s="1"/>
  <c r="A13" i="1"/>
  <c r="L12" i="1"/>
  <c r="J13" i="1"/>
  <c r="E26" i="2"/>
  <c r="F26" i="2"/>
  <c r="R12" i="1"/>
  <c r="T11" i="1"/>
  <c r="U11" i="1"/>
  <c r="V11" i="1"/>
  <c r="M12" i="1"/>
  <c r="N12" i="1"/>
  <c r="B11" i="1"/>
  <c r="L11" i="1"/>
  <c r="M11" i="1"/>
  <c r="N11" i="1"/>
  <c r="L23" i="2"/>
  <c r="X14" i="4"/>
  <c r="Y14" i="4"/>
  <c r="Y11" i="4"/>
  <c r="AB11" i="4"/>
  <c r="X21" i="4"/>
  <c r="Y21" i="4"/>
  <c r="Y18" i="4"/>
  <c r="AB18" i="4"/>
  <c r="G21" i="4"/>
  <c r="K21" i="4"/>
  <c r="N21" i="4"/>
  <c r="K18" i="4"/>
  <c r="N18" i="4"/>
  <c r="K14" i="4"/>
  <c r="K11" i="4"/>
  <c r="N11" i="4"/>
  <c r="N18" i="2"/>
  <c r="L18" i="2"/>
  <c r="D13" i="1"/>
  <c r="E13" i="1" s="1"/>
  <c r="F13" i="1" s="1"/>
  <c r="A14" i="1"/>
  <c r="B13" i="1"/>
  <c r="K15" i="2"/>
  <c r="N15" i="2" a="1"/>
  <c r="N15" i="2"/>
  <c r="I13" i="1"/>
  <c r="L13" i="1"/>
  <c r="M13" i="1"/>
  <c r="N13" i="1"/>
  <c r="J14" i="1"/>
  <c r="K10" i="2"/>
  <c r="K7" i="2"/>
  <c r="N7" i="2" s="1" a="1"/>
  <c r="N7" i="2" s="1"/>
  <c r="G26" i="2"/>
  <c r="J23" i="2"/>
  <c r="U12" i="1"/>
  <c r="V12" i="1"/>
  <c r="R13" i="1"/>
  <c r="T12" i="1"/>
  <c r="Q12" i="1"/>
  <c r="N14" i="4"/>
  <c r="L14" i="4"/>
  <c r="Z21" i="4"/>
  <c r="AB21" i="4"/>
  <c r="Z14" i="4"/>
  <c r="AB14" i="4"/>
  <c r="C7" i="4"/>
  <c r="L21" i="4"/>
  <c r="Q13" i="1"/>
  <c r="R14" i="1"/>
  <c r="T13" i="1"/>
  <c r="U13" i="1"/>
  <c r="V13" i="1"/>
  <c r="K23" i="2"/>
  <c r="N23" i="2" a="1"/>
  <c r="N23" i="2"/>
  <c r="B14" i="1"/>
  <c r="D14" i="1"/>
  <c r="E14" i="1" s="1"/>
  <c r="F14" i="1" s="1"/>
  <c r="A15" i="1"/>
  <c r="N10" i="2"/>
  <c r="L10" i="2"/>
  <c r="J15" i="1"/>
  <c r="L14" i="1"/>
  <c r="M14" i="1"/>
  <c r="N14" i="1"/>
  <c r="I14" i="1"/>
  <c r="Q7" i="4"/>
  <c r="Q8" i="4"/>
  <c r="C8" i="4"/>
  <c r="R15" i="1"/>
  <c r="T14" i="1"/>
  <c r="U14" i="1"/>
  <c r="V14" i="1"/>
  <c r="Q14" i="1"/>
  <c r="J16" i="1"/>
  <c r="L15" i="1"/>
  <c r="M15" i="1"/>
  <c r="N15" i="1"/>
  <c r="I15" i="1"/>
  <c r="A16" i="1"/>
  <c r="B15" i="1"/>
  <c r="D15" i="1"/>
  <c r="R16" i="1"/>
  <c r="T15" i="1"/>
  <c r="U15" i="1"/>
  <c r="V15" i="1"/>
  <c r="Q15" i="1"/>
  <c r="D16" i="1"/>
  <c r="A17" i="1"/>
  <c r="B16" i="1"/>
  <c r="E16" i="1" s="1"/>
  <c r="F16" i="1" s="1"/>
  <c r="I16" i="1"/>
  <c r="L16" i="1"/>
  <c r="M16" i="1"/>
  <c r="N16" i="1"/>
  <c r="J17" i="1"/>
  <c r="D17" i="1"/>
  <c r="B17" i="1"/>
  <c r="A18" i="1"/>
  <c r="J18" i="1"/>
  <c r="L17" i="1"/>
  <c r="I17" i="1"/>
  <c r="M17" i="1"/>
  <c r="N17" i="1"/>
  <c r="U16" i="1"/>
  <c r="V16" i="1"/>
  <c r="R17" i="1"/>
  <c r="T16" i="1"/>
  <c r="Q16" i="1"/>
  <c r="J19" i="1"/>
  <c r="L18" i="1"/>
  <c r="M18" i="1"/>
  <c r="N18" i="1"/>
  <c r="I18" i="1"/>
  <c r="B18" i="1"/>
  <c r="D18" i="1"/>
  <c r="A19" i="1"/>
  <c r="Q17" i="1"/>
  <c r="T17" i="1"/>
  <c r="U17" i="1"/>
  <c r="V17" i="1"/>
  <c r="R18" i="1"/>
  <c r="A20" i="1"/>
  <c r="B19" i="1"/>
  <c r="D19" i="1"/>
  <c r="R19" i="1"/>
  <c r="T18" i="1"/>
  <c r="U18" i="1"/>
  <c r="V18" i="1"/>
  <c r="Q18" i="1"/>
  <c r="M19" i="1"/>
  <c r="N19" i="1"/>
  <c r="J20" i="1"/>
  <c r="L19" i="1"/>
  <c r="I19" i="1"/>
  <c r="R20" i="1"/>
  <c r="T19" i="1"/>
  <c r="U19" i="1"/>
  <c r="V19" i="1"/>
  <c r="Q19" i="1"/>
  <c r="E19" i="1"/>
  <c r="F19" i="1" s="1"/>
  <c r="I20" i="1"/>
  <c r="L20" i="1"/>
  <c r="M20" i="1"/>
  <c r="N20" i="1"/>
  <c r="J21" i="1"/>
  <c r="D20" i="1"/>
  <c r="A21" i="1"/>
  <c r="B20" i="1"/>
  <c r="D21" i="1"/>
  <c r="B21" i="1"/>
  <c r="A22" i="1"/>
  <c r="J22" i="1"/>
  <c r="L21" i="1"/>
  <c r="I21" i="1"/>
  <c r="M21" i="1"/>
  <c r="N21" i="1"/>
  <c r="U20" i="1"/>
  <c r="V20" i="1"/>
  <c r="R21" i="1"/>
  <c r="T20" i="1"/>
  <c r="Q20" i="1"/>
  <c r="J23" i="1"/>
  <c r="L22" i="1"/>
  <c r="M22" i="1"/>
  <c r="N22" i="1"/>
  <c r="I22" i="1"/>
  <c r="B22" i="1"/>
  <c r="D22" i="1"/>
  <c r="A23" i="1"/>
  <c r="Q21" i="1"/>
  <c r="T21" i="1"/>
  <c r="U21" i="1"/>
  <c r="V21" i="1"/>
  <c r="R22" i="1"/>
  <c r="R23" i="1"/>
  <c r="T22" i="1"/>
  <c r="Q22" i="1"/>
  <c r="U22" i="1"/>
  <c r="V22" i="1"/>
  <c r="A24" i="1"/>
  <c r="B23" i="1"/>
  <c r="D23" i="1"/>
  <c r="J24" i="1"/>
  <c r="L23" i="1"/>
  <c r="M23" i="1"/>
  <c r="N23" i="1"/>
  <c r="I23" i="1"/>
  <c r="I24" i="1"/>
  <c r="J25" i="1"/>
  <c r="L24" i="1"/>
  <c r="M24" i="1"/>
  <c r="N24" i="1"/>
  <c r="D24" i="1"/>
  <c r="B24" i="1"/>
  <c r="A25" i="1"/>
  <c r="R24" i="1"/>
  <c r="T23" i="1"/>
  <c r="U23" i="1"/>
  <c r="V23" i="1"/>
  <c r="Q23" i="1"/>
  <c r="D25" i="1"/>
  <c r="B25" i="1"/>
  <c r="A26" i="1"/>
  <c r="J26" i="1"/>
  <c r="L25" i="1"/>
  <c r="I25" i="1"/>
  <c r="M25" i="1"/>
  <c r="N25" i="1"/>
  <c r="U24" i="1"/>
  <c r="V24" i="1"/>
  <c r="R25" i="1"/>
  <c r="T24" i="1"/>
  <c r="Q24" i="1"/>
  <c r="J27" i="1"/>
  <c r="L26" i="1"/>
  <c r="M26" i="1"/>
  <c r="N26" i="1"/>
  <c r="I26" i="1"/>
  <c r="B26" i="1"/>
  <c r="D26" i="1"/>
  <c r="E26" i="1" s="1"/>
  <c r="F26" i="1" s="1"/>
  <c r="A27" i="1"/>
  <c r="Q25" i="1"/>
  <c r="T25" i="1"/>
  <c r="U25" i="1"/>
  <c r="V25" i="1"/>
  <c r="R26" i="1"/>
  <c r="A28" i="1"/>
  <c r="B27" i="1"/>
  <c r="D27" i="1"/>
  <c r="R27" i="1"/>
  <c r="T26" i="1"/>
  <c r="U26" i="1"/>
  <c r="V26" i="1"/>
  <c r="Q26" i="1"/>
  <c r="M27" i="1"/>
  <c r="N27" i="1"/>
  <c r="J28" i="1"/>
  <c r="L27" i="1"/>
  <c r="I27" i="1"/>
  <c r="R28" i="1"/>
  <c r="T27" i="1"/>
  <c r="U27" i="1"/>
  <c r="V27" i="1"/>
  <c r="Q27" i="1"/>
  <c r="E27" i="1"/>
  <c r="F27" i="1" s="1"/>
  <c r="I28" i="1"/>
  <c r="L28" i="1"/>
  <c r="M28" i="1"/>
  <c r="N28" i="1"/>
  <c r="J29" i="1"/>
  <c r="D28" i="1"/>
  <c r="E28" i="1" s="1"/>
  <c r="F28" i="1" s="1"/>
  <c r="A29" i="1"/>
  <c r="B28" i="1"/>
  <c r="J30" i="1"/>
  <c r="L29" i="1"/>
  <c r="I29" i="1"/>
  <c r="M29" i="1"/>
  <c r="N29" i="1"/>
  <c r="D29" i="1"/>
  <c r="B29" i="1"/>
  <c r="A30" i="1"/>
  <c r="U28" i="1"/>
  <c r="V28" i="1"/>
  <c r="R29" i="1"/>
  <c r="T28" i="1"/>
  <c r="Q28" i="1"/>
  <c r="B30" i="1"/>
  <c r="D30" i="1"/>
  <c r="A31" i="1"/>
  <c r="Q29" i="1"/>
  <c r="T29" i="1"/>
  <c r="R30" i="1"/>
  <c r="U29" i="1"/>
  <c r="V29" i="1"/>
  <c r="J31" i="1"/>
  <c r="L30" i="1"/>
  <c r="M30" i="1"/>
  <c r="N30" i="1"/>
  <c r="I30" i="1"/>
  <c r="R31" i="1"/>
  <c r="T30" i="1"/>
  <c r="Q30" i="1"/>
  <c r="U30" i="1"/>
  <c r="V30" i="1"/>
  <c r="A32" i="1"/>
  <c r="B31" i="1"/>
  <c r="E31" i="1" s="1"/>
  <c r="F31" i="1" s="1"/>
  <c r="D31" i="1"/>
  <c r="J32" i="1"/>
  <c r="L31" i="1"/>
  <c r="M31" i="1"/>
  <c r="N31" i="1"/>
  <c r="I31" i="1"/>
  <c r="D32" i="1"/>
  <c r="B32" i="1"/>
  <c r="E32" i="1" s="1"/>
  <c r="F32" i="1" s="1"/>
  <c r="A33" i="1"/>
  <c r="I32" i="1"/>
  <c r="L32" i="1"/>
  <c r="M32" i="1"/>
  <c r="N32" i="1"/>
  <c r="J33" i="1"/>
  <c r="R32" i="1"/>
  <c r="T31" i="1"/>
  <c r="U31" i="1"/>
  <c r="V31" i="1"/>
  <c r="Q31" i="1"/>
  <c r="J34" i="1"/>
  <c r="L33" i="1"/>
  <c r="I33" i="1"/>
  <c r="M33" i="1"/>
  <c r="N33" i="1"/>
  <c r="R33" i="1"/>
  <c r="T32" i="1"/>
  <c r="U32" i="1"/>
  <c r="V32" i="1"/>
  <c r="Q32" i="1"/>
  <c r="D33" i="1"/>
  <c r="B33" i="1"/>
  <c r="E33" i="1"/>
  <c r="F33" i="1" s="1"/>
  <c r="A34" i="1"/>
  <c r="Q33" i="1"/>
  <c r="T33" i="1"/>
  <c r="U33" i="1"/>
  <c r="V33" i="1"/>
  <c r="R34" i="1"/>
  <c r="B34" i="1"/>
  <c r="D34" i="1"/>
  <c r="A35" i="1"/>
  <c r="J35" i="1"/>
  <c r="L34" i="1"/>
  <c r="M34" i="1"/>
  <c r="N34" i="1"/>
  <c r="I34" i="1"/>
  <c r="J36" i="1"/>
  <c r="L35" i="1"/>
  <c r="M35" i="1"/>
  <c r="N35" i="1"/>
  <c r="I35" i="1"/>
  <c r="R35" i="1"/>
  <c r="T34" i="1"/>
  <c r="U34" i="1"/>
  <c r="V34" i="1"/>
  <c r="Q34" i="1"/>
  <c r="A36" i="1"/>
  <c r="B35" i="1"/>
  <c r="D35" i="1"/>
  <c r="E35" i="1" s="1"/>
  <c r="F35" i="1" s="1"/>
  <c r="I36" i="1"/>
  <c r="L36" i="1"/>
  <c r="M36" i="1"/>
  <c r="N36" i="1"/>
  <c r="J37" i="1"/>
  <c r="R36" i="1"/>
  <c r="T35" i="1"/>
  <c r="U35" i="1"/>
  <c r="V35" i="1"/>
  <c r="Q35" i="1"/>
  <c r="D36" i="1"/>
  <c r="B36" i="1"/>
  <c r="A37" i="1"/>
  <c r="R37" i="1"/>
  <c r="T36" i="1"/>
  <c r="U36" i="1"/>
  <c r="V36" i="1"/>
  <c r="Q36" i="1"/>
  <c r="J38" i="1"/>
  <c r="L37" i="1"/>
  <c r="M37" i="1"/>
  <c r="N37" i="1"/>
  <c r="I37" i="1"/>
  <c r="D37" i="1"/>
  <c r="B37" i="1"/>
  <c r="E37" i="1" s="1"/>
  <c r="F37" i="1" s="1"/>
  <c r="A38" i="1"/>
  <c r="L38" i="1"/>
  <c r="M38" i="1"/>
  <c r="N38" i="1"/>
  <c r="I38" i="1"/>
  <c r="B38" i="1"/>
  <c r="D38" i="1"/>
  <c r="Q37" i="1"/>
  <c r="T37" i="1"/>
  <c r="U37" i="1"/>
  <c r="V37" i="1"/>
  <c r="R38" i="1"/>
  <c r="T38" i="1"/>
  <c r="U38" i="1"/>
  <c r="V38" i="1"/>
  <c r="Q38" i="1"/>
  <c r="E120" i="3" l="1"/>
  <c r="F82" i="3"/>
  <c r="F374" i="3"/>
  <c r="G374" i="3" s="1"/>
  <c r="F42" i="3"/>
  <c r="G42" i="3" s="1"/>
  <c r="F155" i="3"/>
  <c r="G155" i="3" s="1"/>
  <c r="F181" i="3"/>
  <c r="F286" i="3"/>
  <c r="G286" i="3" s="1"/>
  <c r="F90" i="3"/>
  <c r="G90" i="3" s="1"/>
  <c r="F300" i="3"/>
  <c r="G300" i="3" s="1"/>
  <c r="F336" i="3"/>
  <c r="G336" i="3" s="1"/>
  <c r="G367" i="3"/>
  <c r="F26" i="3"/>
  <c r="J23" i="3" s="1"/>
  <c r="J26" i="3" s="1"/>
  <c r="K26" i="3" s="1"/>
  <c r="F34" i="3"/>
  <c r="J31" i="3" s="1"/>
  <c r="F18" i="3"/>
  <c r="J15" i="3" s="1"/>
  <c r="J18" i="3" s="1"/>
  <c r="K18" i="3" s="1"/>
  <c r="F343" i="3"/>
  <c r="G343" i="3" s="1"/>
  <c r="F233" i="3"/>
  <c r="G233" i="3" s="1"/>
  <c r="F265" i="3"/>
  <c r="F66" i="3"/>
  <c r="G66" i="3" s="1"/>
  <c r="F98" i="3"/>
  <c r="G98" i="3" s="1"/>
  <c r="F322" i="3"/>
  <c r="J199" i="3"/>
  <c r="J202" i="3" s="1"/>
  <c r="K202" i="3" s="1"/>
  <c r="F217" i="3"/>
  <c r="F50" i="3"/>
  <c r="G50" i="3" s="1"/>
  <c r="F74" i="3"/>
  <c r="J71" i="3" s="1"/>
  <c r="F113" i="3"/>
  <c r="G113" i="3" s="1"/>
  <c r="F58" i="3"/>
  <c r="G58" i="3" s="1"/>
  <c r="F134" i="3"/>
  <c r="J131" i="3" s="1"/>
  <c r="L117" i="3"/>
  <c r="F329" i="3"/>
  <c r="E163" i="3"/>
  <c r="F163" i="3" s="1"/>
  <c r="M98" i="3"/>
  <c r="F225" i="3"/>
  <c r="F105" i="3"/>
  <c r="G105" i="3" s="1"/>
  <c r="F127" i="3"/>
  <c r="G127" i="3" s="1"/>
  <c r="F249" i="3"/>
  <c r="G249" i="3" s="1"/>
  <c r="F279" i="3"/>
  <c r="F307" i="3"/>
  <c r="M134" i="3"/>
  <c r="G293" i="3"/>
  <c r="J290" i="3"/>
  <c r="J293" i="3" s="1"/>
  <c r="K293" i="3" s="1"/>
  <c r="N293" i="3" s="1"/>
  <c r="C10" i="3"/>
  <c r="E10" i="3"/>
  <c r="G82" i="3"/>
  <c r="J79" i="3"/>
  <c r="I120" i="3"/>
  <c r="F241" i="3"/>
  <c r="C120" i="3"/>
  <c r="F120" i="3" s="1"/>
  <c r="F188" i="3"/>
  <c r="F172" i="3"/>
  <c r="F209" i="3"/>
  <c r="F272" i="3"/>
  <c r="F350" i="3"/>
  <c r="F314" i="3"/>
  <c r="F195" i="3"/>
  <c r="F9" i="18"/>
  <c r="J6" i="18" s="1"/>
  <c r="J9" i="18" s="1"/>
  <c r="K9" i="18" s="1"/>
  <c r="F17" i="18"/>
  <c r="F46" i="17"/>
  <c r="J50" i="17"/>
  <c r="G53" i="17"/>
  <c r="M53" i="17"/>
  <c r="J43" i="17"/>
  <c r="G46" i="17"/>
  <c r="F32" i="17"/>
  <c r="G32" i="17" s="1"/>
  <c r="E25" i="17"/>
  <c r="F25" i="17" s="1"/>
  <c r="F39" i="17"/>
  <c r="M25" i="17"/>
  <c r="E30" i="1"/>
  <c r="F30" i="1" s="1"/>
  <c r="E15" i="1"/>
  <c r="F15" i="1" s="1"/>
  <c r="E36" i="1"/>
  <c r="F36" i="1" s="1"/>
  <c r="E20" i="1"/>
  <c r="F20" i="1" s="1"/>
  <c r="E34" i="1"/>
  <c r="F34" i="1" s="1"/>
  <c r="E23" i="1"/>
  <c r="F23" i="1" s="1"/>
  <c r="E22" i="1"/>
  <c r="F22" i="1" s="1"/>
  <c r="E9" i="1"/>
  <c r="F9" i="1" s="1"/>
  <c r="J149" i="14"/>
  <c r="K146" i="14"/>
  <c r="N146" i="14" s="1"/>
  <c r="M149" i="14"/>
  <c r="K149" i="14"/>
  <c r="J142" i="14"/>
  <c r="K139" i="14"/>
  <c r="N139" i="14" s="1"/>
  <c r="M142" i="14"/>
  <c r="K142" i="14"/>
  <c r="J135" i="14"/>
  <c r="K132" i="14"/>
  <c r="N132" i="14" s="1"/>
  <c r="M135" i="14"/>
  <c r="K135" i="14"/>
  <c r="J36" i="15"/>
  <c r="K33" i="15"/>
  <c r="N33" i="15" s="1"/>
  <c r="M36" i="15"/>
  <c r="K36" i="15"/>
  <c r="J29" i="15"/>
  <c r="K26" i="15"/>
  <c r="N26" i="15" s="1"/>
  <c r="M29" i="15"/>
  <c r="K29" i="15"/>
  <c r="J22" i="15"/>
  <c r="K19" i="15"/>
  <c r="N19" i="15" s="1"/>
  <c r="M22" i="15"/>
  <c r="K22" i="15"/>
  <c r="J15" i="15"/>
  <c r="K12" i="15"/>
  <c r="N12" i="15" s="1"/>
  <c r="M15" i="15"/>
  <c r="K15" i="15"/>
  <c r="J8" i="15"/>
  <c r="K5" i="15"/>
  <c r="N5" i="15" s="1"/>
  <c r="M8" i="15"/>
  <c r="K8" i="15"/>
  <c r="M367" i="3"/>
  <c r="M360" i="3"/>
  <c r="E359" i="3"/>
  <c r="C359" i="3"/>
  <c r="M359" i="3"/>
  <c r="J128" i="14"/>
  <c r="K125" i="14"/>
  <c r="N125" i="14" s="1"/>
  <c r="M128" i="14"/>
  <c r="K128" i="14"/>
  <c r="M350" i="3"/>
  <c r="J66" i="14"/>
  <c r="D12" i="14" s="1"/>
  <c r="J65" i="14"/>
  <c r="E12" i="14"/>
  <c r="M66" i="14"/>
  <c r="K66" i="14"/>
  <c r="K62" i="14"/>
  <c r="N62" i="14" s="1"/>
  <c r="M65" i="14"/>
  <c r="K65" i="14"/>
  <c r="J58" i="14"/>
  <c r="D11" i="14" s="1"/>
  <c r="K55" i="14"/>
  <c r="N55" i="14" s="1"/>
  <c r="M58" i="14"/>
  <c r="K58" i="14"/>
  <c r="G12" i="14"/>
  <c r="M343" i="3"/>
  <c r="M336" i="3"/>
  <c r="M329" i="3"/>
  <c r="J121" i="14"/>
  <c r="K118" i="14"/>
  <c r="N118" i="14" s="1"/>
  <c r="M121" i="14"/>
  <c r="K121" i="14"/>
  <c r="J114" i="14"/>
  <c r="K111" i="14"/>
  <c r="N111" i="14" s="1"/>
  <c r="M114" i="14"/>
  <c r="K114" i="14"/>
  <c r="J107" i="14"/>
  <c r="K104" i="14"/>
  <c r="N104" i="14" s="1"/>
  <c r="M107" i="14"/>
  <c r="K107" i="14"/>
  <c r="J100" i="14"/>
  <c r="K97" i="14"/>
  <c r="N97" i="14" s="1"/>
  <c r="M100" i="14"/>
  <c r="K100" i="14"/>
  <c r="M322" i="3"/>
  <c r="J93" i="14"/>
  <c r="H12" i="14" s="1"/>
  <c r="K90" i="14"/>
  <c r="N90" i="14" s="1"/>
  <c r="M93" i="14"/>
  <c r="K93" i="14"/>
  <c r="J85" i="14"/>
  <c r="K82" i="14"/>
  <c r="N82" i="14" s="1"/>
  <c r="M85" i="14"/>
  <c r="K85" i="14"/>
  <c r="M314" i="3"/>
  <c r="M307" i="3"/>
  <c r="M300" i="3"/>
  <c r="E78" i="14"/>
  <c r="C78" i="14"/>
  <c r="F78" i="14" s="1"/>
  <c r="M78" i="14"/>
  <c r="I35" i="14"/>
  <c r="C5" i="14"/>
  <c r="C6" i="14"/>
  <c r="C13" i="14"/>
  <c r="E13" i="14" s="1"/>
  <c r="E51" i="14"/>
  <c r="C51" i="14"/>
  <c r="C8" i="14"/>
  <c r="F42" i="14"/>
  <c r="G42" i="14" s="1"/>
  <c r="E34" i="14"/>
  <c r="F34" i="14" s="1"/>
  <c r="M34" i="14"/>
  <c r="E25" i="14"/>
  <c r="C25" i="14"/>
  <c r="M25" i="14"/>
  <c r="J26" i="2" a="1"/>
  <c r="J26" i="2" s="1"/>
  <c r="K26" i="2" s="1"/>
  <c r="J27" i="2"/>
  <c r="K27" i="2"/>
  <c r="N27" i="2"/>
  <c r="L27" i="2"/>
  <c r="Y48" i="6" a="1"/>
  <c r="Y48" i="6" s="1"/>
  <c r="Z45" i="6"/>
  <c r="AC45" i="6" s="1" a="1"/>
  <c r="AC45" i="6" s="1"/>
  <c r="AB48" i="6"/>
  <c r="Z48" i="6"/>
  <c r="Y55" i="6" a="1"/>
  <c r="Y55" i="6" s="1"/>
  <c r="W40" i="6" s="1"/>
  <c r="Z52" i="6"/>
  <c r="AC52" i="6" s="1" a="1"/>
  <c r="AC52" i="6" s="1"/>
  <c r="AB55" i="6"/>
  <c r="Z55" i="6"/>
  <c r="Y62" i="6" a="1"/>
  <c r="Y62" i="6" s="1"/>
  <c r="W41" i="6" s="1"/>
  <c r="Z59" i="6"/>
  <c r="AC59" i="6" s="1" a="1"/>
  <c r="AC59" i="6" s="1"/>
  <c r="AB62" i="6"/>
  <c r="Z62" i="6"/>
  <c r="E18" i="1"/>
  <c r="F18" i="1" s="1"/>
  <c r="E24" i="1"/>
  <c r="F24" i="1" s="1"/>
  <c r="E21" i="1"/>
  <c r="F21" i="1" s="1"/>
  <c r="E17" i="1"/>
  <c r="F17" i="1" s="1"/>
  <c r="E38" i="1"/>
  <c r="F38" i="1" s="1"/>
  <c r="E29" i="1"/>
  <c r="F29" i="1" s="1"/>
  <c r="E25" i="1"/>
  <c r="F25" i="1" s="1"/>
  <c r="E11" i="1"/>
  <c r="F11" i="1" s="1"/>
  <c r="E10" i="1"/>
  <c r="F10" i="1" s="1"/>
  <c r="G31" i="12"/>
  <c r="G32" i="12" s="1"/>
  <c r="O11" i="12"/>
  <c r="O14" i="12" s="1"/>
  <c r="G10" i="12"/>
  <c r="G13" i="12" s="1"/>
  <c r="G42" i="6"/>
  <c r="J62" i="6" a="1"/>
  <c r="J62" i="6" s="1"/>
  <c r="H41" i="6" s="1"/>
  <c r="K59" i="6"/>
  <c r="N59" i="6" s="1" a="1"/>
  <c r="N59" i="6" s="1"/>
  <c r="M62" i="6"/>
  <c r="K62" i="6"/>
  <c r="I41" i="6" s="1"/>
  <c r="J55" i="6" a="1"/>
  <c r="J55" i="6" s="1"/>
  <c r="K52" i="6"/>
  <c r="N52" i="6" s="1" a="1"/>
  <c r="N52" i="6" s="1"/>
  <c r="M55" i="6"/>
  <c r="K55" i="6"/>
  <c r="I40" i="6" s="1"/>
  <c r="K45" i="6"/>
  <c r="N45" i="6" s="1" a="1"/>
  <c r="N45" i="6" s="1"/>
  <c r="K48" i="6"/>
  <c r="J33" i="6" a="1"/>
  <c r="J33" i="6" s="1"/>
  <c r="K33" i="6" s="1"/>
  <c r="N33" i="6" s="1"/>
  <c r="K30" i="6"/>
  <c r="N30" i="6" s="1" a="1"/>
  <c r="N30" i="6" s="1"/>
  <c r="J131" i="11"/>
  <c r="K131" i="11" s="1"/>
  <c r="J124" i="11"/>
  <c r="K124" i="11" s="1"/>
  <c r="J117" i="11"/>
  <c r="K117" i="11" s="1"/>
  <c r="J61" i="11"/>
  <c r="K61" i="11" s="1"/>
  <c r="J53" i="11"/>
  <c r="K53" i="11" s="1"/>
  <c r="J46" i="11"/>
  <c r="K46" i="11" s="1"/>
  <c r="J107" i="11"/>
  <c r="F102" i="11"/>
  <c r="F94" i="11"/>
  <c r="G94" i="11" s="1"/>
  <c r="F86" i="11"/>
  <c r="F78" i="11"/>
  <c r="F70" i="11"/>
  <c r="F39" i="11"/>
  <c r="E15" i="11"/>
  <c r="C15" i="11"/>
  <c r="F15" i="11" s="1"/>
  <c r="M15" i="11"/>
  <c r="M23" i="11"/>
  <c r="K23" i="11"/>
  <c r="J31" i="11"/>
  <c r="K31" i="11" s="1"/>
  <c r="K28" i="11"/>
  <c r="N28" i="11" s="1"/>
  <c r="M31" i="11"/>
  <c r="M39" i="11"/>
  <c r="M70" i="11"/>
  <c r="M78" i="11"/>
  <c r="M86" i="11"/>
  <c r="M94" i="11"/>
  <c r="M102" i="11"/>
  <c r="J110" i="11"/>
  <c r="K110" i="11" s="1"/>
  <c r="K107" i="11"/>
  <c r="N107" i="11" s="1"/>
  <c r="M110" i="11"/>
  <c r="M286" i="3"/>
  <c r="C9" i="6"/>
  <c r="E9" i="6" s="1"/>
  <c r="F9" i="6" s="1"/>
  <c r="M9" i="6"/>
  <c r="L13" i="6"/>
  <c r="C16" i="6"/>
  <c r="E16" i="6" s="1"/>
  <c r="F16" i="6" s="1"/>
  <c r="J13" i="6" s="1"/>
  <c r="K13" i="6" s="1"/>
  <c r="N13" i="6" s="1" a="1"/>
  <c r="N13" i="6" s="1"/>
  <c r="F25" i="6"/>
  <c r="G25" i="6" s="1"/>
  <c r="M279" i="3"/>
  <c r="M272" i="3"/>
  <c r="M265" i="3"/>
  <c r="E258" i="3"/>
  <c r="C258" i="3"/>
  <c r="M258" i="3"/>
  <c r="M249" i="3"/>
  <c r="M241" i="3"/>
  <c r="M233" i="3"/>
  <c r="M225" i="3"/>
  <c r="M217" i="3"/>
  <c r="M209" i="3"/>
  <c r="M202" i="3"/>
  <c r="M195" i="3"/>
  <c r="M188" i="3"/>
  <c r="G181" i="3"/>
  <c r="J178" i="3"/>
  <c r="J181" i="3" s="1"/>
  <c r="K181" i="3" s="1"/>
  <c r="L181" i="3" s="1"/>
  <c r="M181" i="3"/>
  <c r="M172" i="3"/>
  <c r="M163" i="3"/>
  <c r="F148" i="3"/>
  <c r="J145" i="3" s="1"/>
  <c r="E141" i="3"/>
  <c r="C141" i="3"/>
  <c r="M141" i="3"/>
  <c r="J364" i="3" l="1"/>
  <c r="J367" i="3" s="1"/>
  <c r="K367" i="3" s="1"/>
  <c r="J152" i="3"/>
  <c r="J155" i="3" s="1"/>
  <c r="J283" i="3"/>
  <c r="J286" i="3" s="1"/>
  <c r="K286" i="3" s="1"/>
  <c r="K199" i="3"/>
  <c r="N199" i="3" s="1"/>
  <c r="J87" i="3"/>
  <c r="K87" i="3" s="1"/>
  <c r="N87" i="3" s="1"/>
  <c r="F359" i="3"/>
  <c r="G134" i="3"/>
  <c r="G34" i="3"/>
  <c r="J39" i="3"/>
  <c r="K39" i="3" s="1"/>
  <c r="N39" i="3" s="1"/>
  <c r="J371" i="3"/>
  <c r="K371" i="3" s="1"/>
  <c r="N371" i="3" s="1"/>
  <c r="G26" i="3"/>
  <c r="J246" i="3"/>
  <c r="J249" i="3" s="1"/>
  <c r="K249" i="3" s="1"/>
  <c r="L249" i="3" s="1"/>
  <c r="J47" i="3"/>
  <c r="K47" i="3" s="1"/>
  <c r="N47" i="3" s="1"/>
  <c r="J297" i="3"/>
  <c r="J300" i="3" s="1"/>
  <c r="K300" i="3" s="1"/>
  <c r="N300" i="3" s="1"/>
  <c r="J333" i="3"/>
  <c r="J336" i="3" s="1"/>
  <c r="K336" i="3" s="1"/>
  <c r="N336" i="3" s="1"/>
  <c r="J340" i="3"/>
  <c r="J343" i="3" s="1"/>
  <c r="K343" i="3" s="1"/>
  <c r="N343" i="3" s="1"/>
  <c r="G18" i="3"/>
  <c r="G74" i="3"/>
  <c r="J95" i="3"/>
  <c r="J98" i="3" s="1"/>
  <c r="K98" i="3" s="1"/>
  <c r="L98" i="3" s="1"/>
  <c r="J63" i="3"/>
  <c r="J66" i="3" s="1"/>
  <c r="K66" i="3" s="1"/>
  <c r="J102" i="3"/>
  <c r="K102" i="3" s="1"/>
  <c r="N102" i="3" s="1"/>
  <c r="G265" i="3"/>
  <c r="J262" i="3"/>
  <c r="J230" i="3"/>
  <c r="J233" i="3" s="1"/>
  <c r="K233" i="3" s="1"/>
  <c r="N233" i="3" s="1"/>
  <c r="G217" i="3"/>
  <c r="J214" i="3"/>
  <c r="J124" i="3"/>
  <c r="J127" i="3" s="1"/>
  <c r="K127" i="3" s="1"/>
  <c r="G322" i="3"/>
  <c r="J319" i="3"/>
  <c r="F258" i="3"/>
  <c r="J255" i="3" s="1"/>
  <c r="G163" i="3"/>
  <c r="J160" i="3"/>
  <c r="G329" i="3"/>
  <c r="J326" i="3"/>
  <c r="K290" i="3"/>
  <c r="N290" i="3" s="1"/>
  <c r="J55" i="3"/>
  <c r="J58" i="3" s="1"/>
  <c r="K58" i="3" s="1"/>
  <c r="K246" i="3"/>
  <c r="N246" i="3" s="1"/>
  <c r="G307" i="3"/>
  <c r="J304" i="3"/>
  <c r="G279" i="3"/>
  <c r="J276" i="3"/>
  <c r="K283" i="3"/>
  <c r="N283" i="3" s="1"/>
  <c r="J110" i="3"/>
  <c r="J113" i="3" s="1"/>
  <c r="K113" i="3" s="1"/>
  <c r="G225" i="3"/>
  <c r="J222" i="3"/>
  <c r="F141" i="3"/>
  <c r="G141" i="3" s="1"/>
  <c r="G120" i="3"/>
  <c r="J117" i="3"/>
  <c r="G195" i="3"/>
  <c r="J192" i="3"/>
  <c r="K364" i="3"/>
  <c r="N364" i="3" s="1"/>
  <c r="G314" i="3"/>
  <c r="J311" i="3"/>
  <c r="G350" i="3"/>
  <c r="J347" i="3"/>
  <c r="G272" i="3"/>
  <c r="J269" i="3"/>
  <c r="G209" i="3"/>
  <c r="J206" i="3"/>
  <c r="G172" i="3"/>
  <c r="J169" i="3"/>
  <c r="K178" i="3"/>
  <c r="N178" i="3" s="1"/>
  <c r="K79" i="3"/>
  <c r="N79" i="3" s="1"/>
  <c r="J82" i="3"/>
  <c r="K82" i="3" s="1"/>
  <c r="K31" i="3"/>
  <c r="N31" i="3" s="1"/>
  <c r="J34" i="3"/>
  <c r="K34" i="3" s="1"/>
  <c r="G241" i="3"/>
  <c r="J238" i="3"/>
  <c r="M120" i="3"/>
  <c r="J134" i="3"/>
  <c r="K134" i="3" s="1"/>
  <c r="K131" i="3"/>
  <c r="N131" i="3" s="1"/>
  <c r="K71" i="3"/>
  <c r="N71" i="3" s="1"/>
  <c r="J74" i="3"/>
  <c r="K74" i="3" s="1"/>
  <c r="L26" i="3"/>
  <c r="N26" i="3"/>
  <c r="F10" i="3"/>
  <c r="G188" i="3"/>
  <c r="J185" i="3"/>
  <c r="L18" i="3"/>
  <c r="N18" i="3"/>
  <c r="G9" i="18"/>
  <c r="J14" i="18"/>
  <c r="J17" i="18" s="1"/>
  <c r="K17" i="18" s="1"/>
  <c r="G17" i="18"/>
  <c r="N9" i="18"/>
  <c r="L9" i="18"/>
  <c r="J53" i="17"/>
  <c r="K50" i="17"/>
  <c r="N50" i="17" s="1"/>
  <c r="K43" i="17"/>
  <c r="N43" i="17" s="1"/>
  <c r="J46" i="17"/>
  <c r="J29" i="17"/>
  <c r="G25" i="17"/>
  <c r="J22" i="17"/>
  <c r="J25" i="17" s="1"/>
  <c r="K29" i="17"/>
  <c r="N29" i="17" s="1"/>
  <c r="J32" i="17"/>
  <c r="G39" i="17"/>
  <c r="J36" i="17"/>
  <c r="C17" i="17"/>
  <c r="N149" i="14"/>
  <c r="L149" i="14"/>
  <c r="N142" i="14"/>
  <c r="L142" i="14"/>
  <c r="N135" i="14"/>
  <c r="L135" i="14"/>
  <c r="N36" i="15"/>
  <c r="L36" i="15"/>
  <c r="N29" i="15"/>
  <c r="L29" i="15"/>
  <c r="N22" i="15"/>
  <c r="L22" i="15"/>
  <c r="N15" i="15"/>
  <c r="L15" i="15"/>
  <c r="N8" i="15"/>
  <c r="L8" i="15"/>
  <c r="N367" i="3"/>
  <c r="L367" i="3"/>
  <c r="G359" i="3"/>
  <c r="J356" i="3"/>
  <c r="J360" i="3" s="1"/>
  <c r="K360" i="3" s="1"/>
  <c r="N360" i="3" s="1"/>
  <c r="N128" i="14"/>
  <c r="L128" i="14"/>
  <c r="N66" i="14"/>
  <c r="L66" i="14"/>
  <c r="N65" i="14"/>
  <c r="L65" i="14"/>
  <c r="L17" i="14"/>
  <c r="N17" i="14"/>
  <c r="O17" i="14" s="1"/>
  <c r="Q17" i="14"/>
  <c r="P17" i="14"/>
  <c r="N58" i="14"/>
  <c r="L58" i="14"/>
  <c r="H13" i="14"/>
  <c r="G13" i="14"/>
  <c r="E11" i="14"/>
  <c r="N121" i="14"/>
  <c r="L121" i="14"/>
  <c r="F12" i="14"/>
  <c r="N114" i="14"/>
  <c r="L114" i="14"/>
  <c r="N107" i="14"/>
  <c r="L107" i="14"/>
  <c r="N100" i="14"/>
  <c r="L100" i="14"/>
  <c r="G8" i="14"/>
  <c r="N93" i="14"/>
  <c r="L93" i="14"/>
  <c r="N85" i="14"/>
  <c r="L85" i="14"/>
  <c r="G78" i="14"/>
  <c r="J75" i="14"/>
  <c r="M35" i="14"/>
  <c r="C10" i="14"/>
  <c r="G5" i="14"/>
  <c r="G6" i="14" s="1"/>
  <c r="F51" i="14"/>
  <c r="J48" i="14" s="1"/>
  <c r="J39" i="14"/>
  <c r="J42" i="14" s="1"/>
  <c r="G34" i="14"/>
  <c r="J31" i="14"/>
  <c r="F25" i="14"/>
  <c r="J26" i="14" s="1"/>
  <c r="D9" i="14" s="1"/>
  <c r="E9" i="14" s="1"/>
  <c r="L293" i="3"/>
  <c r="N26" i="2"/>
  <c r="AC62" i="6"/>
  <c r="AA62" i="6"/>
  <c r="X41" i="6"/>
  <c r="AC55" i="6"/>
  <c r="AA55" i="6"/>
  <c r="X40" i="6"/>
  <c r="AC48" i="6"/>
  <c r="AA48" i="6"/>
  <c r="X39" i="6"/>
  <c r="X42" i="6" s="1"/>
  <c r="W39" i="6"/>
  <c r="W42" i="6" s="1"/>
  <c r="R39" i="6"/>
  <c r="R40" i="6" s="1"/>
  <c r="R41" i="6" s="1"/>
  <c r="G15" i="12"/>
  <c r="G16" i="12"/>
  <c r="O16" i="12"/>
  <c r="O17" i="12" s="1"/>
  <c r="C39" i="6"/>
  <c r="H40" i="6"/>
  <c r="H42" i="6"/>
  <c r="L48" i="6"/>
  <c r="I39" i="6"/>
  <c r="I42" i="6" s="1"/>
  <c r="C40" i="6"/>
  <c r="C41" i="6" s="1"/>
  <c r="N62" i="6"/>
  <c r="L62" i="6"/>
  <c r="N55" i="6"/>
  <c r="L55" i="6"/>
  <c r="N48" i="6"/>
  <c r="L33" i="6"/>
  <c r="L131" i="11"/>
  <c r="N131" i="11"/>
  <c r="L124" i="11"/>
  <c r="N124" i="11"/>
  <c r="L117" i="11"/>
  <c r="N117" i="11"/>
  <c r="L61" i="11"/>
  <c r="N61" i="11"/>
  <c r="L53" i="11"/>
  <c r="N53" i="11"/>
  <c r="L46" i="11"/>
  <c r="N46" i="11"/>
  <c r="G102" i="11"/>
  <c r="J99" i="11"/>
  <c r="J91" i="11"/>
  <c r="G86" i="11"/>
  <c r="J83" i="11"/>
  <c r="G78" i="11"/>
  <c r="J75" i="11"/>
  <c r="G70" i="11"/>
  <c r="J67" i="11"/>
  <c r="G39" i="11"/>
  <c r="J36" i="11"/>
  <c r="N110" i="11"/>
  <c r="L110" i="11"/>
  <c r="N31" i="11"/>
  <c r="L31" i="11"/>
  <c r="N23" i="11"/>
  <c r="L23" i="11"/>
  <c r="G15" i="11"/>
  <c r="J12" i="11"/>
  <c r="N286" i="3"/>
  <c r="L286" i="3"/>
  <c r="G16" i="6"/>
  <c r="G9" i="6"/>
  <c r="J6" i="6"/>
  <c r="J9" i="6" s="1" a="1"/>
  <c r="J9" i="6" s="1"/>
  <c r="J16" i="6" a="1"/>
  <c r="J16" i="6" s="1"/>
  <c r="K16" i="6" s="1"/>
  <c r="J22" i="6"/>
  <c r="N202" i="3"/>
  <c r="L202" i="3"/>
  <c r="N181" i="3"/>
  <c r="K155" i="3"/>
  <c r="L155" i="3" s="1"/>
  <c r="G148" i="3"/>
  <c r="K145" i="3"/>
  <c r="N145" i="3" s="1"/>
  <c r="J148" i="3"/>
  <c r="K148" i="3" s="1"/>
  <c r="L148" i="3" s="1"/>
  <c r="N249" i="3" l="1"/>
  <c r="K152" i="3"/>
  <c r="N152" i="3" s="1"/>
  <c r="J90" i="3"/>
  <c r="K90" i="3" s="1"/>
  <c r="K297" i="3"/>
  <c r="N297" i="3" s="1"/>
  <c r="L300" i="3"/>
  <c r="J374" i="3"/>
  <c r="K374" i="3" s="1"/>
  <c r="J50" i="3"/>
  <c r="K50" i="3" s="1"/>
  <c r="K333" i="3"/>
  <c r="N333" i="3" s="1"/>
  <c r="L336" i="3"/>
  <c r="J42" i="3"/>
  <c r="K42" i="3" s="1"/>
  <c r="L42" i="3" s="1"/>
  <c r="K230" i="3"/>
  <c r="N230" i="3" s="1"/>
  <c r="L343" i="3"/>
  <c r="K63" i="3"/>
  <c r="N63" i="3" s="1"/>
  <c r="K340" i="3"/>
  <c r="N340" i="3" s="1"/>
  <c r="N98" i="3"/>
  <c r="L233" i="3"/>
  <c r="K95" i="3"/>
  <c r="N95" i="3" s="1"/>
  <c r="K55" i="3"/>
  <c r="N55" i="3" s="1"/>
  <c r="J105" i="3"/>
  <c r="K105" i="3" s="1"/>
  <c r="J138" i="3"/>
  <c r="J141" i="3" s="1"/>
  <c r="K141" i="3" s="1"/>
  <c r="L141" i="3" s="1"/>
  <c r="G258" i="3"/>
  <c r="K319" i="3"/>
  <c r="N319" i="3" s="1"/>
  <c r="J322" i="3"/>
  <c r="K322" i="3" s="1"/>
  <c r="K110" i="3"/>
  <c r="N110" i="3" s="1"/>
  <c r="J217" i="3"/>
  <c r="K217" i="3" s="1"/>
  <c r="K214" i="3"/>
  <c r="N214" i="3" s="1"/>
  <c r="K124" i="3"/>
  <c r="N124" i="3" s="1"/>
  <c r="J265" i="3"/>
  <c r="K265" i="3" s="1"/>
  <c r="K262" i="3"/>
  <c r="N262" i="3" s="1"/>
  <c r="K276" i="3"/>
  <c r="N276" i="3" s="1"/>
  <c r="J279" i="3"/>
  <c r="K279" i="3" s="1"/>
  <c r="J307" i="3"/>
  <c r="K307" i="3" s="1"/>
  <c r="K304" i="3"/>
  <c r="N304" i="3" s="1"/>
  <c r="J225" i="3"/>
  <c r="K225" i="3" s="1"/>
  <c r="K222" i="3"/>
  <c r="N222" i="3" s="1"/>
  <c r="J329" i="3"/>
  <c r="K329" i="3" s="1"/>
  <c r="K326" i="3"/>
  <c r="N326" i="3" s="1"/>
  <c r="K160" i="3"/>
  <c r="N160" i="3" s="1"/>
  <c r="J163" i="3"/>
  <c r="K163" i="3" s="1"/>
  <c r="L113" i="3"/>
  <c r="N113" i="3"/>
  <c r="J314" i="3"/>
  <c r="K314" i="3" s="1"/>
  <c r="L314" i="3" s="1"/>
  <c r="K311" i="3"/>
  <c r="N311" i="3" s="1"/>
  <c r="J172" i="3"/>
  <c r="K172" i="3" s="1"/>
  <c r="K169" i="3"/>
  <c r="N169" i="3" s="1"/>
  <c r="L50" i="3"/>
  <c r="N50" i="3"/>
  <c r="K206" i="3"/>
  <c r="N206" i="3" s="1"/>
  <c r="J209" i="3"/>
  <c r="K209" i="3" s="1"/>
  <c r="K185" i="3"/>
  <c r="N185" i="3" s="1"/>
  <c r="J188" i="3"/>
  <c r="K188" i="3" s="1"/>
  <c r="J241" i="3"/>
  <c r="K241" i="3" s="1"/>
  <c r="K238" i="3"/>
  <c r="N238" i="3" s="1"/>
  <c r="L90" i="3"/>
  <c r="N90" i="3"/>
  <c r="K347" i="3"/>
  <c r="N347" i="3" s="1"/>
  <c r="J350" i="3"/>
  <c r="K350" i="3" s="1"/>
  <c r="G10" i="3"/>
  <c r="J7" i="3"/>
  <c r="L34" i="3"/>
  <c r="N34" i="3"/>
  <c r="L82" i="3"/>
  <c r="N82" i="3"/>
  <c r="L127" i="3"/>
  <c r="N127" i="3"/>
  <c r="L360" i="3"/>
  <c r="L74" i="3"/>
  <c r="N74" i="3"/>
  <c r="J195" i="3"/>
  <c r="K195" i="3" s="1"/>
  <c r="K192" i="3"/>
  <c r="N192" i="3" s="1"/>
  <c r="L134" i="3"/>
  <c r="N134" i="3"/>
  <c r="J120" i="3"/>
  <c r="K120" i="3" s="1"/>
  <c r="K117" i="3"/>
  <c r="N117" i="3" s="1"/>
  <c r="L58" i="3"/>
  <c r="N58" i="3"/>
  <c r="L66" i="3"/>
  <c r="N66" i="3"/>
  <c r="L105" i="3"/>
  <c r="N105" i="3"/>
  <c r="J272" i="3"/>
  <c r="K272" i="3" s="1"/>
  <c r="K269" i="3"/>
  <c r="N269" i="3" s="1"/>
  <c r="N17" i="18"/>
  <c r="L17" i="18"/>
  <c r="L374" i="3"/>
  <c r="N374" i="3"/>
  <c r="K53" i="17"/>
  <c r="E12" i="17" s="1"/>
  <c r="D12" i="17"/>
  <c r="K46" i="17"/>
  <c r="E11" i="17" s="1"/>
  <c r="D11" i="17"/>
  <c r="K32" i="17"/>
  <c r="E9" i="17" s="1"/>
  <c r="D9" i="17"/>
  <c r="K25" i="17"/>
  <c r="E8" i="17" s="1"/>
  <c r="D8" i="17"/>
  <c r="N53" i="17"/>
  <c r="H12" i="17" s="1"/>
  <c r="L53" i="17"/>
  <c r="F12" i="17" s="1"/>
  <c r="N46" i="17"/>
  <c r="H11" i="17" s="1"/>
  <c r="L46" i="17"/>
  <c r="F11" i="17" s="1"/>
  <c r="K22" i="17"/>
  <c r="N22" i="17" s="1"/>
  <c r="L25" i="17"/>
  <c r="F8" i="17" s="1"/>
  <c r="N25" i="17"/>
  <c r="H8" i="17" s="1"/>
  <c r="N32" i="17"/>
  <c r="H9" i="17" s="1"/>
  <c r="J39" i="17"/>
  <c r="K39" i="17" s="1"/>
  <c r="K36" i="17"/>
  <c r="N36" i="17" s="1"/>
  <c r="G17" i="17"/>
  <c r="J359" i="3"/>
  <c r="K359" i="3" s="1"/>
  <c r="K356" i="3"/>
  <c r="N356" i="3" s="1"/>
  <c r="G10" i="14"/>
  <c r="C17" i="14"/>
  <c r="G17" i="14"/>
  <c r="H11" i="14"/>
  <c r="F11" i="14"/>
  <c r="H9" i="14"/>
  <c r="F9" i="14"/>
  <c r="J78" i="14"/>
  <c r="K78" i="14" s="1"/>
  <c r="K75" i="14"/>
  <c r="N75" i="14" s="1"/>
  <c r="J35" i="14"/>
  <c r="J34" i="14"/>
  <c r="K34" i="14" s="1"/>
  <c r="G51" i="14"/>
  <c r="K39" i="14"/>
  <c r="N39" i="14" s="1"/>
  <c r="D5" i="14"/>
  <c r="K48" i="14"/>
  <c r="N48" i="14" s="1"/>
  <c r="J51" i="14"/>
  <c r="G25" i="14"/>
  <c r="K42" i="14"/>
  <c r="D8" i="14"/>
  <c r="K26" i="14"/>
  <c r="L26" i="14" s="1"/>
  <c r="K31" i="14"/>
  <c r="N31" i="14" s="1"/>
  <c r="J22" i="14"/>
  <c r="J25" i="14" s="1"/>
  <c r="K25" i="14" s="1"/>
  <c r="J102" i="11"/>
  <c r="K102" i="11" s="1"/>
  <c r="K99" i="11"/>
  <c r="N99" i="11" s="1"/>
  <c r="J94" i="11"/>
  <c r="K94" i="11" s="1"/>
  <c r="K91" i="11"/>
  <c r="N91" i="11" s="1"/>
  <c r="K83" i="11"/>
  <c r="N83" i="11" s="1"/>
  <c r="J86" i="11"/>
  <c r="K86" i="11" s="1"/>
  <c r="K75" i="11"/>
  <c r="N75" i="11" s="1"/>
  <c r="J78" i="11"/>
  <c r="K78" i="11" s="1"/>
  <c r="J70" i="11"/>
  <c r="K70" i="11" s="1"/>
  <c r="K67" i="11"/>
  <c r="N67" i="11" s="1"/>
  <c r="J39" i="11"/>
  <c r="K39" i="11" s="1"/>
  <c r="K36" i="11"/>
  <c r="N36" i="11" s="1"/>
  <c r="J15" i="11"/>
  <c r="K12" i="11"/>
  <c r="N12" i="11" s="1"/>
  <c r="K6" i="6"/>
  <c r="N6" i="6" s="1" a="1"/>
  <c r="N6" i="6" s="1"/>
  <c r="K9" i="6"/>
  <c r="N16" i="6"/>
  <c r="L16" i="6"/>
  <c r="N9" i="6"/>
  <c r="L9" i="6"/>
  <c r="J25" i="6"/>
  <c r="K25" i="6" s="1"/>
  <c r="K22" i="6"/>
  <c r="N22" i="6" s="1"/>
  <c r="J258" i="3"/>
  <c r="K258" i="3" s="1"/>
  <c r="K255" i="3"/>
  <c r="N255" i="3" s="1"/>
  <c r="N155" i="3"/>
  <c r="N148" i="3"/>
  <c r="K138" i="3" l="1"/>
  <c r="N138" i="3" s="1"/>
  <c r="N42" i="3"/>
  <c r="N265" i="3"/>
  <c r="L265" i="3"/>
  <c r="N217" i="3"/>
  <c r="L217" i="3"/>
  <c r="N322" i="3"/>
  <c r="L322" i="3"/>
  <c r="L163" i="3"/>
  <c r="N163" i="3"/>
  <c r="N329" i="3"/>
  <c r="L329" i="3"/>
  <c r="N225" i="3"/>
  <c r="L225" i="3"/>
  <c r="N307" i="3"/>
  <c r="L307" i="3"/>
  <c r="L279" i="3"/>
  <c r="N279" i="3"/>
  <c r="L120" i="3"/>
  <c r="N120" i="3"/>
  <c r="L350" i="3"/>
  <c r="N350" i="3"/>
  <c r="L172" i="3"/>
  <c r="N172" i="3"/>
  <c r="N188" i="3"/>
  <c r="L188" i="3"/>
  <c r="L209" i="3"/>
  <c r="N209" i="3"/>
  <c r="N195" i="3"/>
  <c r="L195" i="3"/>
  <c r="K7" i="3"/>
  <c r="N7" i="3" s="1"/>
  <c r="J10" i="3"/>
  <c r="K10" i="3" s="1"/>
  <c r="N272" i="3"/>
  <c r="L272" i="3"/>
  <c r="N314" i="3"/>
  <c r="N241" i="3"/>
  <c r="L241" i="3"/>
  <c r="L32" i="17"/>
  <c r="F9" i="17" s="1"/>
  <c r="L39" i="17"/>
  <c r="N39" i="17"/>
  <c r="N359" i="3"/>
  <c r="L359" i="3"/>
  <c r="E8" i="14"/>
  <c r="N78" i="14"/>
  <c r="L78" i="14"/>
  <c r="D10" i="14"/>
  <c r="D17" i="14" s="1"/>
  <c r="K35" i="14"/>
  <c r="K22" i="14"/>
  <c r="N22" i="14" s="1"/>
  <c r="K51" i="14"/>
  <c r="N42" i="14"/>
  <c r="L42" i="14"/>
  <c r="N26" i="14"/>
  <c r="D6" i="14"/>
  <c r="N25" i="14"/>
  <c r="L25" i="14"/>
  <c r="K15" i="11"/>
  <c r="L102" i="11"/>
  <c r="N102" i="11"/>
  <c r="N94" i="11"/>
  <c r="L94" i="11"/>
  <c r="N86" i="11"/>
  <c r="L86" i="11"/>
  <c r="N78" i="11"/>
  <c r="L78" i="11"/>
  <c r="L70" i="11"/>
  <c r="N70" i="11"/>
  <c r="L39" i="11"/>
  <c r="N39" i="11"/>
  <c r="N15" i="11"/>
  <c r="L15" i="11"/>
  <c r="N25" i="6"/>
  <c r="L25" i="6"/>
  <c r="N258" i="3"/>
  <c r="L258" i="3"/>
  <c r="N141" i="3"/>
  <c r="L10" i="3" l="1"/>
  <c r="N10" i="3"/>
  <c r="D17" i="17"/>
  <c r="E17" i="17"/>
  <c r="F17" i="17" s="1"/>
  <c r="E10" i="14"/>
  <c r="H8" i="14"/>
  <c r="F8" i="14"/>
  <c r="N35" i="14"/>
  <c r="L35" i="14"/>
  <c r="E5" i="14"/>
  <c r="E6" i="14"/>
  <c r="L51" i="14"/>
  <c r="F13" i="14" s="1"/>
  <c r="N34" i="14"/>
  <c r="N51" i="14"/>
  <c r="L34" i="14"/>
  <c r="C6" i="11"/>
  <c r="C5" i="11"/>
  <c r="H17" i="17" l="1"/>
  <c r="H10" i="14"/>
  <c r="H17" i="14" s="1"/>
  <c r="E17" i="14"/>
  <c r="F17" i="14" s="1"/>
  <c r="F10" i="14"/>
  <c r="F5" i="14"/>
  <c r="F6" i="14" s="1"/>
  <c r="H5" i="14"/>
  <c r="H6" i="14" s="1"/>
  <c r="E1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======
ID#AAAAceXXmNY
Dave W.    (2022-04-22 18:06:58)
Breakeven cost.</t>
        </r>
      </text>
    </comment>
    <comment ref="F8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======
ID#AAAAceXXmMs
Dave W.    (2022-04-22 18:05:42)
Rate we need to receive from client to achieve the target profit.</t>
        </r>
      </text>
    </comment>
    <comment ref="J8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======
ID#AAAAceXXmNA
Dave W.    (2022-04-22 17:57:37)
This is the rate the 1099 charges Packaged Agile.</t>
        </r>
      </text>
    </comment>
    <comment ref="M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======
ID#AAAAceXXmNg
Dave W.    (2022-04-22 18:06:52)
Breakeven cost.</t>
        </r>
      </text>
    </comment>
    <comment ref="N8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======
ID#AAAAceXXmM8
Dave W.    (2022-04-22 18:06:03)
Rate we need to receive from client to achieve the target profit.</t>
        </r>
      </text>
    </comment>
    <comment ref="R8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======
ID#AAAAceXXmNU
Dave W.    (2022-04-22 18:00:59)
Hourly rate paid to employee</t>
        </r>
      </text>
    </comment>
    <comment ref="U8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======
ID#AAAAceXXmM0
Dave W.    (2022-04-22 18:06:44)
Breakeven cost.</t>
        </r>
      </text>
    </comment>
    <comment ref="V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======
ID#AAAAceXXmNM
Dave W.    (2022-04-22 18:06:10)
Rate we need to receive from client to achieve the target profit.</t>
        </r>
      </text>
    </comment>
    <comment ref="A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ID#AAAAceXXmNk
Dave W.    (2022-04-28 14:16:22)
Input a specific salary here to evaluate.</t>
        </r>
      </text>
    </comment>
    <comment ref="J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ID#AAAAceXXmNE
Dave W.    (2022-04-28 14:16:02)
Input a specific hourly cost here.</t>
        </r>
      </text>
    </comment>
    <comment ref="Q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ID#AAAAceXXmNI
Dave W.    (2022-04-28 14:15:12)
Input a salary here to evaluate specific salary.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np0kk7c+kXZHbjGCOvj0Si1sL1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======
ID#AAAAceXXmMw
Dave W.    (2022-05-05 16:09:35)
= $1000 / 156
$1,000 is estimate for 40 hours of work per month by HUBZone employee. At 1,880 hours per year, an employee will work 156 hours per month. So $1,000 / 156 = the hourly HUBZone fee.</t>
        </r>
      </text>
    </comment>
    <comment ref="M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ID#AAAAceXXmM4
Dave W.    (2022-05-05 16:29:00)
Yes or No</t>
        </r>
      </text>
    </comment>
    <comment ref="L2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======
ID#AAAAceXXmNQ
Dave W.    (2022-05-05 16:09:35)
= $1000 / 156
$1,000 is estimate for 40 hours of work per month by HUBZone employee. At 1,880 hours per year, an employee will work 156 hours per month. So $1,000 / 156 = the hourly HUBZone fee.</t>
        </r>
      </text>
    </comment>
    <comment ref="M2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ID#AAAAceXXmNc
Dave W.    (2022-05-05 16:29:00)
Yes or No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VwQxJ4xIQQ0o6Vr5sgdsq6Ggj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tc={A956777D-16FA-4D4E-BFBE-290CDC4D358F}</author>
  </authors>
  <commentList>
    <comment ref="B77" authorId="0" shapeId="0" xr:uid="{A956777D-16FA-4D4E-BFBE-290CDC4D358F}">
      <text>
        <t>[Threaded comment]
Your version of Excel allows you to read this threaded comment; however, any edits to it will get removed if the file is opened in a newer version of Excel. Learn more: https://go.microsoft.com/fwlink/?linkid=870924
Comment:
    120-130 was his ask
Reply:
    Thanks. Today he said $120 - $135k. $125k is reasonable. He said he's at $117k today, so $125k is a modest bump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4" authorId="0" shapeId="0" xr:uid="{DE39E542-A1C9-480A-B5CC-1F9690D924CB}">
      <text>
        <r>
          <rPr>
            <sz val="11"/>
            <color theme="1"/>
            <rFont val="Calibri"/>
            <family val="2"/>
            <scheme val="minor"/>
          </rPr>
          <t>======
ID#AAAAceXXmMw
Dave W.    (2022-05-05 16:09:35)
= $1000 / 156
$1,000 is estimate for 40 hours of work per month by HUBZone employee. At 1,880 hours per year, an employee will work 156 hours per month. So $1,000 / 156 = the hourly HUBZone fee.</t>
        </r>
      </text>
    </comment>
    <comment ref="M24" authorId="0" shapeId="0" xr:uid="{63B60DC7-F916-4427-A9F6-AE5922A2252E}">
      <text>
        <r>
          <rPr>
            <sz val="11"/>
            <color theme="1"/>
            <rFont val="Calibri"/>
            <family val="2"/>
            <scheme val="minor"/>
          </rPr>
          <t>======
ID#AAAAceXXmM4
Dave W.    (2022-05-05 16:29:00)
Yes or No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tc={0F2C0158-A51C-4F86-939D-1C09EC3FE460}</author>
  </authors>
  <commentList>
    <comment ref="D13" authorId="0" shapeId="0" xr:uid="{0F2C0158-A51C-4F86-939D-1C09EC3FE4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Reduced from $270K'ish since Dave's time is split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O47" authorId="0" shapeId="0" xr:uid="{7749AC55-68FE-45D9-BE67-44CCFDFC8ACA}">
      <text>
        <r>
          <rPr>
            <sz val="11"/>
            <color theme="1"/>
            <rFont val="Calibri"/>
            <family val="2"/>
            <scheme val="minor"/>
          </rPr>
          <t>======
ID#AAAAceXXmMw
Dave W.    (2022-05-05 16:09:35)
= $1000 / 156
$1,000 is estimate for 40 hours of work per month by HUBZone employee. At 1,880 hours per year, an employee will work 156 hours per month. So $1,000 / 156 = the hourly HUBZone fee.</t>
        </r>
      </text>
    </comment>
    <comment ref="AP47" authorId="0" shapeId="0" xr:uid="{778DD075-26BB-4C23-8128-6216C45580D9}">
      <text>
        <r>
          <rPr>
            <sz val="11"/>
            <color theme="1"/>
            <rFont val="Calibri"/>
            <family val="2"/>
            <scheme val="minor"/>
          </rPr>
          <t>======
ID#AAAAceXXmM4
Dave W.    (2022-05-05 16:29:00)
Yes or No</t>
        </r>
      </text>
    </comment>
    <comment ref="AO54" authorId="0" shapeId="0" xr:uid="{258FAADA-9B48-484A-816A-4B9C51EA1F00}">
      <text>
        <r>
          <rPr>
            <sz val="11"/>
            <color theme="1"/>
            <rFont val="Calibri"/>
            <family val="2"/>
            <scheme val="minor"/>
          </rPr>
          <t>======
ID#AAAAceXXmMw
Dave W.    (2022-05-05 16:09:35)
= $1000 / 156
$1,000 is estimate for 40 hours of work per month by HUBZone employee. At 1,880 hours per year, an employee will work 156 hours per month. So $1,000 / 156 = the hourly HUBZone fee.</t>
        </r>
      </text>
    </comment>
    <comment ref="AP54" authorId="0" shapeId="0" xr:uid="{3163EC35-475A-40C8-A9E3-5147B554449F}">
      <text>
        <r>
          <rPr>
            <sz val="11"/>
            <color theme="1"/>
            <rFont val="Calibri"/>
            <family val="2"/>
            <scheme val="minor"/>
          </rPr>
          <t>======
ID#AAAAceXXmM4
Dave W.    (2022-05-05 16:29:00)
Yes or No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5" authorId="0" shapeId="0" xr:uid="{24971A78-FDBB-004E-8285-C5CA3F447F20}">
      <text>
        <r>
          <rPr>
            <sz val="11"/>
            <color theme="1"/>
            <rFont val="Calibri"/>
            <family val="2"/>
            <scheme val="minor"/>
          </rPr>
          <t>======
ID#AAAAceXXmNQ
Dave W.    (2022-05-05 16:09:35)
= $1000 / 156
$1,000 is estimate for 40 hours of work per month by HUBZone employee. At 1,880 hours per year, an employee will work 156 hours per month. So $1,000 / 156 = the hourly HUBZone fee.</t>
        </r>
      </text>
    </comment>
    <comment ref="M5" authorId="0" shapeId="0" xr:uid="{EE8E49C7-7771-0C4D-827A-6D769868DA49}">
      <text>
        <r>
          <rPr>
            <sz val="11"/>
            <color theme="1"/>
            <rFont val="Calibri"/>
            <family val="2"/>
            <scheme val="minor"/>
          </rPr>
          <t>======
ID#AAAAceXXmNc
Dave W.    (2022-05-05 16:29:00)
Yes or No</t>
        </r>
      </text>
    </comment>
    <comment ref="L12" authorId="0" shapeId="0" xr:uid="{E044EF20-072A-5548-8393-87E8CAAC57F5}">
      <text>
        <r>
          <rPr>
            <sz val="11"/>
            <color theme="1"/>
            <rFont val="Calibri"/>
            <family val="2"/>
            <scheme val="minor"/>
          </rPr>
          <t>======
ID#AAAAceXXmNQ
Dave W.    (2022-05-05 16:09:35)
= $1000 / 156
$1,000 is estimate for 40 hours of work per month by HUBZone employee. At 1,880 hours per year, an employee will work 156 hours per month. So $1,000 / 156 = the hourly HUBZone fee.</t>
        </r>
      </text>
    </comment>
    <comment ref="M12" authorId="0" shapeId="0" xr:uid="{AF5073CF-AC54-644D-ABE1-435EEC9AB0A9}">
      <text>
        <r>
          <rPr>
            <sz val="11"/>
            <color theme="1"/>
            <rFont val="Calibri"/>
            <family val="2"/>
            <scheme val="minor"/>
          </rPr>
          <t>======
ID#AAAAceXXmNc
Dave W.    (2022-05-05 16:29:00)
Yes or No</t>
        </r>
      </text>
    </comment>
    <comment ref="L29" authorId="0" shapeId="0" xr:uid="{94912FA9-F851-4D14-8A1F-1CE08B5270B9}">
      <text>
        <r>
          <rPr>
            <sz val="11"/>
            <color theme="1"/>
            <rFont val="Calibri"/>
            <family val="2"/>
            <scheme val="minor"/>
          </rPr>
          <t>======
ID#AAAAceXXmNQ
Dave W.    (2022-05-05 16:09:35)
= $1000 / 156
$1,000 is estimate for 40 hours of work per month by HUBZone employee. At 1,880 hours per year, an employee will work 156 hours per month. So $1,000 / 156 = the hourly HUBZone fee.</t>
        </r>
      </text>
    </comment>
    <comment ref="M29" authorId="0" shapeId="0" xr:uid="{3E3D45C6-8926-49D7-BB29-9C875CC6374C}">
      <text>
        <r>
          <rPr>
            <sz val="11"/>
            <color theme="1"/>
            <rFont val="Calibri"/>
            <family val="2"/>
            <scheme val="minor"/>
          </rPr>
          <t>======
ID#AAAAceXXmNc
Dave W.    (2022-05-05 16:29:00)
Yes or No</t>
        </r>
      </text>
    </comment>
    <comment ref="L44" authorId="0" shapeId="0" xr:uid="{7E303DE7-AE66-400B-A376-6377BC506BBF}">
      <text>
        <r>
          <rPr>
            <sz val="11"/>
            <color theme="1"/>
            <rFont val="Calibri"/>
            <family val="2"/>
            <scheme val="minor"/>
          </rPr>
          <t>======
ID#AAAAceXXmNQ
Dave W.    (2022-05-05 16:09:35)
= $1000 / 156
$1,000 is estimate for 40 hours of work per month by HUBZone employee. At 1,880 hours per year, an employee will work 156 hours per month. So $1,000 / 156 = the hourly HUBZone fee.</t>
        </r>
      </text>
    </comment>
    <comment ref="M44" authorId="0" shapeId="0" xr:uid="{837234DD-EF59-4B9A-9426-AF0157C6EE3C}">
      <text>
        <r>
          <rPr>
            <sz val="11"/>
            <color theme="1"/>
            <rFont val="Calibri"/>
            <family val="2"/>
            <scheme val="minor"/>
          </rPr>
          <t>======
ID#AAAAceXXmNc
Dave W.    (2022-05-05 16:29:00)
Yes or No</t>
        </r>
      </text>
    </comment>
    <comment ref="AA44" authorId="0" shapeId="0" xr:uid="{557FBA8B-D3AF-4CF7-AC71-F308E43CAE09}">
      <text>
        <r>
          <rPr>
            <sz val="11"/>
            <color theme="1"/>
            <rFont val="Calibri"/>
            <family val="2"/>
            <scheme val="minor"/>
          </rPr>
          <t>======
ID#AAAAceXXmNQ
Dave W.    (2022-05-05 16:09:35)
= $1000 / 156
$1,000 is estimate for 40 hours of work per month by HUBZone employee. At 1,880 hours per year, an employee will work 156 hours per month. So $1,000 / 156 = the hourly HUBZone fee.</t>
        </r>
      </text>
    </comment>
    <comment ref="AB44" authorId="0" shapeId="0" xr:uid="{3F55B8A1-3789-491E-ADE0-7CE8D5B1DA40}">
      <text>
        <r>
          <rPr>
            <sz val="11"/>
            <color theme="1"/>
            <rFont val="Calibri"/>
            <family val="2"/>
            <scheme val="minor"/>
          </rPr>
          <t>======
ID#AAAAceXXmNc
Dave W.    (2022-05-05 16:29:00)
Yes or No</t>
        </r>
      </text>
    </comment>
    <comment ref="L51" authorId="0" shapeId="0" xr:uid="{9DB0F91C-6BB8-4DDD-B3D6-FBDD55A3C180}">
      <text>
        <r>
          <rPr>
            <sz val="11"/>
            <color theme="1"/>
            <rFont val="Calibri"/>
            <family val="2"/>
            <scheme val="minor"/>
          </rPr>
          <t>======
ID#AAAAceXXmNQ
Dave W.    (2022-05-05 16:09:35)
= $1000 / 156
$1,000 is estimate for 40 hours of work per month by HUBZone employee. At 1,880 hours per year, an employee will work 156 hours per month. So $1,000 / 156 = the hourly HUBZone fee.</t>
        </r>
      </text>
    </comment>
    <comment ref="M51" authorId="0" shapeId="0" xr:uid="{04F2C33C-76E7-43F5-B574-AC63B10D0A24}">
      <text>
        <r>
          <rPr>
            <sz val="11"/>
            <color theme="1"/>
            <rFont val="Calibri"/>
            <family val="2"/>
            <scheme val="minor"/>
          </rPr>
          <t>======
ID#AAAAceXXmNc
Dave W.    (2022-05-05 16:29:00)
Yes or No</t>
        </r>
      </text>
    </comment>
    <comment ref="AA51" authorId="0" shapeId="0" xr:uid="{665F5F23-EACE-48D2-BAF6-76C2270305BA}">
      <text>
        <r>
          <rPr>
            <sz val="11"/>
            <color theme="1"/>
            <rFont val="Calibri"/>
            <family val="2"/>
            <scheme val="minor"/>
          </rPr>
          <t>======
ID#AAAAceXXmNQ
Dave W.    (2022-05-05 16:09:35)
= $1000 / 156
$1,000 is estimate for 40 hours of work per month by HUBZone employee. At 1,880 hours per year, an employee will work 156 hours per month. So $1,000 / 156 = the hourly HUBZone fee.</t>
        </r>
      </text>
    </comment>
    <comment ref="AB51" authorId="0" shapeId="0" xr:uid="{E30A6AB2-146A-4D88-9F84-E7A885C73A90}">
      <text>
        <r>
          <rPr>
            <sz val="11"/>
            <color theme="1"/>
            <rFont val="Calibri"/>
            <family val="2"/>
            <scheme val="minor"/>
          </rPr>
          <t>======
ID#AAAAceXXmNc
Dave W.    (2022-05-05 16:29:00)
Yes or No</t>
        </r>
      </text>
    </comment>
    <comment ref="L58" authorId="0" shapeId="0" xr:uid="{82066326-DEE2-437F-84B0-429857B61DDE}">
      <text>
        <r>
          <rPr>
            <sz val="11"/>
            <color theme="1"/>
            <rFont val="Calibri"/>
            <family val="2"/>
            <scheme val="minor"/>
          </rPr>
          <t>======
ID#AAAAceXXmNQ
Dave W.    (2022-05-05 16:09:35)
= $1000 / 156
$1,000 is estimate for 40 hours of work per month by HUBZone employee. At 1,880 hours per year, an employee will work 156 hours per month. So $1,000 / 156 = the hourly HUBZone fee.</t>
        </r>
      </text>
    </comment>
    <comment ref="M58" authorId="0" shapeId="0" xr:uid="{56C78A83-45D7-484D-9A80-9EF91849A6C0}">
      <text>
        <r>
          <rPr>
            <sz val="11"/>
            <color theme="1"/>
            <rFont val="Calibri"/>
            <family val="2"/>
            <scheme val="minor"/>
          </rPr>
          <t>======
ID#AAAAceXXmNc
Dave W.    (2022-05-05 16:29:00)
Yes or No</t>
        </r>
      </text>
    </comment>
    <comment ref="AA58" authorId="0" shapeId="0" xr:uid="{91B5E26A-2E74-4297-A53F-9F9AC29BE8C9}">
      <text>
        <r>
          <rPr>
            <sz val="11"/>
            <color theme="1"/>
            <rFont val="Calibri"/>
            <family val="2"/>
            <scheme val="minor"/>
          </rPr>
          <t>======
ID#AAAAceXXmNQ
Dave W.    (2022-05-05 16:09:35)
= $1000 / 156
$1,000 is estimate for 40 hours of work per month by HUBZone employee. At 1,880 hours per year, an employee will work 156 hours per month. So $1,000 / 156 = the hourly HUBZone fee.</t>
        </r>
      </text>
    </comment>
    <comment ref="AB58" authorId="0" shapeId="0" xr:uid="{8B34CFAD-1AD9-4471-896C-91661D69F980}">
      <text>
        <r>
          <rPr>
            <sz val="11"/>
            <color theme="1"/>
            <rFont val="Calibri"/>
            <family val="2"/>
            <scheme val="minor"/>
          </rPr>
          <t>======
ID#AAAAceXXmNc
Dave W.    (2022-05-05 16:29:00)
Yes or No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tc={D5A08F65-9616-7440-820E-181FBF9B0B97}</author>
  </authors>
  <commentList>
    <comment ref="D8" authorId="0" shapeId="0" xr:uid="{D5A08F65-9616-7440-820E-181FBF9B0B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Reduced to account for 3 holidays.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2" authorId="0" shapeId="0" xr:uid="{E7FCA7AD-6698-4E03-A427-534DEBD66447}">
      <text>
        <r>
          <rPr>
            <sz val="11"/>
            <color theme="1"/>
            <rFont val="Calibri"/>
            <family val="2"/>
            <scheme val="minor"/>
          </rPr>
          <t>======
ID#AAAAceXXmNQ
Dave W.    (2022-05-05 16:09:35)
= $1000 / 156
$1,000 is estimate for 40 hours of work per month by HUBZone employee. At 1,880 hours per year, an employee will work 156 hours per month. So $1,000 / 156 = the hourly HUBZone fee.</t>
        </r>
      </text>
    </comment>
    <comment ref="M22" authorId="0" shapeId="0" xr:uid="{DBE239EB-0F4C-4B3F-B331-28F074B4CF44}">
      <text>
        <r>
          <rPr>
            <sz val="11"/>
            <color theme="1"/>
            <rFont val="Calibri"/>
            <family val="2"/>
            <scheme val="minor"/>
          </rPr>
          <t>======
ID#AAAAceXXmNc
Dave W.    (2022-05-05 16:29:00)
Yes or No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<sst xmlns="http://schemas.openxmlformats.org/spreadsheetml/2006/main" count="5561" uniqueCount="357">
  <si>
    <t>Employee Profit Sheet</t>
  </si>
  <si>
    <t>% Benefits</t>
  </si>
  <si>
    <t>% Taxes</t>
  </si>
  <si>
    <t>% Max Bonus</t>
  </si>
  <si>
    <t>% Overhead</t>
  </si>
  <si>
    <t>Hours Per Year</t>
  </si>
  <si>
    <t>% Target Profit</t>
  </si>
  <si>
    <t>Exempt Salaried W2 Employee</t>
  </si>
  <si>
    <t>1099 Staff</t>
  </si>
  <si>
    <t>Non-Exempt Hourly W2 Employee</t>
  </si>
  <si>
    <t>Salary</t>
  </si>
  <si>
    <t>Unburdened Hourly Cost</t>
  </si>
  <si>
    <t>Total Burden + Bonus %</t>
  </si>
  <si>
    <t>Total Burden $ Per Hour</t>
  </si>
  <si>
    <t>Burdened Per Hour Cost</t>
  </si>
  <si>
    <t>Hourly Client Rate @ Target Profit</t>
  </si>
  <si>
    <t>1099 Income</t>
  </si>
  <si>
    <t>Staff Profit Calculator</t>
  </si>
  <si>
    <t>Enter data in the blue cells.</t>
  </si>
  <si>
    <t>Client Hourly Rate</t>
  </si>
  <si>
    <t>PA Hourly Burdened Cost</t>
  </si>
  <si>
    <t>$ Profit Per Hour</t>
  </si>
  <si>
    <t>Hourly HUBZone Fee</t>
  </si>
  <si>
    <t>Include HUBZone Fee?</t>
  </si>
  <si>
    <t>$ Profit Per Hour Adjusted for HUBZone</t>
  </si>
  <si>
    <t>yes</t>
  </si>
  <si>
    <t>$ Annual Revenue</t>
  </si>
  <si>
    <t>$ Annual Cost</t>
  </si>
  <si>
    <t>$ Annual Profit</t>
  </si>
  <si>
    <t>% Annual Profit</t>
  </si>
  <si>
    <t>$ Monthly Revenue</t>
  </si>
  <si>
    <t>$ Monthly Profit</t>
  </si>
  <si>
    <t>No</t>
  </si>
  <si>
    <t>Yearly Unburdened Cost</t>
  </si>
  <si>
    <t>40 hours/week</t>
  </si>
  <si>
    <t>36 hours/week</t>
  </si>
  <si>
    <t>Warehouse Opportunity</t>
  </si>
  <si>
    <t>Notes</t>
  </si>
  <si>
    <t># of Positions</t>
  </si>
  <si>
    <t>Average Rate</t>
  </si>
  <si>
    <t>Estimate from Kelly</t>
  </si>
  <si>
    <t>Cost</t>
  </si>
  <si>
    <t>Estimate from Brad</t>
  </si>
  <si>
    <t>Monthly Revenue</t>
  </si>
  <si>
    <t>Annual Revenue</t>
  </si>
  <si>
    <t>Monthly Employee Cost w/ benefits</t>
  </si>
  <si>
    <t>Upfront Recruiting Costs</t>
  </si>
  <si>
    <t xml:space="preserve">Hatch hasn't provided an estimate, this is Brad's estimate. </t>
  </si>
  <si>
    <t>PA Internal Recruiting Support</t>
  </si>
  <si>
    <t>1 part time person for 2 months to interview and manage the process</t>
  </si>
  <si>
    <t xml:space="preserve">Warehouse Manager </t>
  </si>
  <si>
    <t>Warehouse Mgr. Monthly Cost</t>
  </si>
  <si>
    <t>Warehouse Staff (25 FTE)</t>
  </si>
  <si>
    <t> 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</si>
  <si>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</si>
  <si>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</si>
  <si>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</si>
  <si>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</si>
  <si>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</si>
  <si>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</si>
  <si>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</si>
  <si>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</si>
  <si>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</si>
  <si>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</si>
  <si>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</si>
  <si>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Costs</t>
  </si>
  <si>
    <t>Recruiting</t>
  </si>
  <si>
    <t>Mgr.</t>
  </si>
  <si>
    <t>Delivery Staff</t>
  </si>
  <si>
    <t>Revenue</t>
  </si>
  <si>
    <t>Profit / Loss</t>
  </si>
  <si>
    <t>Assumptions</t>
  </si>
  <si>
    <t>Warehouse Individual (W2)</t>
  </si>
  <si>
    <t>April: 12 staff</t>
  </si>
  <si>
    <t>May: 18 Staff</t>
  </si>
  <si>
    <t>June: 25 staff</t>
  </si>
  <si>
    <t>Recruiting Costs: Include $1,000 every other month for replacement cost</t>
  </si>
  <si>
    <t>Warehouse Individual (1099)</t>
  </si>
  <si>
    <t>$15/hour may be too low depending on the locatoin, warehouse and type of position</t>
  </si>
  <si>
    <t>Questions</t>
  </si>
  <si>
    <t>Do we need to make them W2s, or could we do 1099s to be competitve?</t>
  </si>
  <si>
    <t>Would the benefits be more than 13% since they have a lower salary?</t>
  </si>
  <si>
    <t>Running List for Potential Staff</t>
  </si>
  <si>
    <t>Loren - 1099</t>
  </si>
  <si>
    <t>Labor Cost</t>
  </si>
  <si>
    <t>Lisa Lipe</t>
  </si>
  <si>
    <t>Kehinde Badaru</t>
  </si>
  <si>
    <t>Yes</t>
  </si>
  <si>
    <t>Sarah Smith</t>
  </si>
  <si>
    <t>Emily Wai</t>
  </si>
  <si>
    <t>Marjan Ayub</t>
  </si>
  <si>
    <t>Sam B</t>
  </si>
  <si>
    <t>FPAC SM</t>
  </si>
  <si>
    <t>Asiya Haque</t>
  </si>
  <si>
    <t>Steve Connelly</t>
  </si>
  <si>
    <t>Joel Ogan - Humana SM</t>
  </si>
  <si>
    <t>ED BA - Joel Ogan</t>
  </si>
  <si>
    <t>ED BA</t>
  </si>
  <si>
    <t>PTO Product Coach - Dolores</t>
  </si>
  <si>
    <t>PTO Product  Coach - Zikiria</t>
  </si>
  <si>
    <t>PTO Product  Coach - Marty</t>
  </si>
  <si>
    <t>Kathy Hairfield - Sr. Scrum Master</t>
  </si>
  <si>
    <t>Humana Scrum Master</t>
  </si>
  <si>
    <t>USPTO Strat Comms</t>
  </si>
  <si>
    <t>Ash</t>
  </si>
  <si>
    <t>no</t>
  </si>
  <si>
    <t>Monte</t>
  </si>
  <si>
    <t>Kara Hughes</t>
  </si>
  <si>
    <t>Alicia Cienawski</t>
  </si>
  <si>
    <t>Army - SM</t>
  </si>
  <si>
    <t>Army - RTE</t>
  </si>
  <si>
    <t>Warda Khan - Army SM</t>
  </si>
  <si>
    <t>Slava</t>
  </si>
  <si>
    <t>Jeanne</t>
  </si>
  <si>
    <t>Jason Rea</t>
  </si>
  <si>
    <t>Future ED SMs</t>
  </si>
  <si>
    <t>Nahush - W2</t>
  </si>
  <si>
    <t>Afong - W2</t>
  </si>
  <si>
    <t>Ryan Simmons</t>
  </si>
  <si>
    <t>Susie Joseph</t>
  </si>
  <si>
    <t>Bryan Granish</t>
  </si>
  <si>
    <t>Jim PiCard</t>
  </si>
  <si>
    <t>Beth Frasier</t>
  </si>
  <si>
    <t>Army SM</t>
  </si>
  <si>
    <t>PBGC Agile Coach</t>
  </si>
  <si>
    <t>Andy</t>
  </si>
  <si>
    <t>Jim</t>
  </si>
  <si>
    <t>Matt</t>
  </si>
  <si>
    <t>Product Coach-USPTO</t>
  </si>
  <si>
    <t>Alan Bustamante</t>
  </si>
  <si>
    <t>Steve Day</t>
  </si>
  <si>
    <t>Hassan</t>
  </si>
  <si>
    <t>FI Consulting - Code Review Consultant</t>
  </si>
  <si>
    <t>FI Consulting -Code Review Consultant  Consultant</t>
  </si>
  <si>
    <t>FI Consulting -PMO/Risk/Data Consultant</t>
  </si>
  <si>
    <t>ERP Analyst (Kforce)</t>
  </si>
  <si>
    <t>ERP Analyst (Kforce) 1099</t>
  </si>
  <si>
    <t>Dave Witkin</t>
  </si>
  <si>
    <t>John Crook</t>
  </si>
  <si>
    <t>Scenario 2: Dave at 100%, John at 50%, and another coach at 50%</t>
  </si>
  <si>
    <t xml:space="preserve">Note: selling another coach to them at 50% for an unproven resource is unlikely. Finding another agile coach at 50% capacity may be a challenge. </t>
  </si>
  <si>
    <t>Coach 2 at 50%</t>
  </si>
  <si>
    <t>Summary</t>
  </si>
  <si>
    <t>Summary of Dave at 100% and John at 50%</t>
  </si>
  <si>
    <t>Jim Picard</t>
  </si>
  <si>
    <t xml:space="preserve">Jim will be supporting this and the Zolon Tech Assessment, so moving this down to only 90% of his salary. </t>
  </si>
  <si>
    <t>Junior Coach</t>
  </si>
  <si>
    <t>AMC Summary - Beth as 1099</t>
  </si>
  <si>
    <t>AMC Summary - Beth as W2</t>
  </si>
  <si>
    <t>Army Scenario 1: Status Quo</t>
  </si>
  <si>
    <t>Name</t>
  </si>
  <si>
    <t>% Utilization</t>
  </si>
  <si>
    <t>Billable Hours</t>
  </si>
  <si>
    <t>Cost Hours</t>
  </si>
  <si>
    <t>Hourly Revenue</t>
  </si>
  <si>
    <t>Hourly Cost</t>
  </si>
  <si>
    <t>Annual Cost</t>
  </si>
  <si>
    <t>Annual Margin $</t>
  </si>
  <si>
    <t>Monthly Margin $</t>
  </si>
  <si>
    <t>Margin %</t>
  </si>
  <si>
    <t>Totals</t>
  </si>
  <si>
    <t>Army Scenario 2: Dave 50%, John 50%, Jim Picard 100%</t>
  </si>
  <si>
    <t>Army Scenario 3: Dave 100%, John 50%, New Coach 50%</t>
  </si>
  <si>
    <t>50% Coach</t>
  </si>
  <si>
    <t>Pros</t>
  </si>
  <si>
    <t>Cons</t>
  </si>
  <si>
    <t>Growth</t>
  </si>
  <si>
    <t>Matt Nelson</t>
  </si>
  <si>
    <t>Dan W</t>
  </si>
  <si>
    <t>Rob Burman</t>
  </si>
  <si>
    <t>Profit Summary</t>
  </si>
  <si>
    <t>GFEBS</t>
  </si>
  <si>
    <t>Brad (50%)</t>
  </si>
  <si>
    <t>EBS-C</t>
  </si>
  <si>
    <t>SM 1</t>
  </si>
  <si>
    <t>Chris PerDieu</t>
  </si>
  <si>
    <t>SM 2</t>
  </si>
  <si>
    <t>SM 3</t>
  </si>
  <si>
    <t>Clifford Afong</t>
  </si>
  <si>
    <t>SM 4</t>
  </si>
  <si>
    <t>Matt Shankle</t>
  </si>
  <si>
    <t>SM 5</t>
  </si>
  <si>
    <t>SM 6</t>
  </si>
  <si>
    <t>Chris PerDeiu</t>
  </si>
  <si>
    <t>Mark Carroll</t>
  </si>
  <si>
    <t>Beth</t>
  </si>
  <si>
    <t>Kathy H</t>
  </si>
  <si>
    <t>Nirav Amin</t>
  </si>
  <si>
    <t>Slava Nozhnik</t>
  </si>
  <si>
    <t>Jonathan Moody</t>
  </si>
  <si>
    <t>IRS Mod 1</t>
  </si>
  <si>
    <t>IRS Mod 2</t>
  </si>
  <si>
    <t>IRS Mod 3</t>
  </si>
  <si>
    <t>FFP vs. T&amp;M Profit Analysis</t>
  </si>
  <si>
    <t>Based on Ash</t>
  </si>
  <si>
    <t xml:space="preserve">July </t>
  </si>
  <si>
    <t>Sept</t>
  </si>
  <si>
    <t>Oct</t>
  </si>
  <si>
    <t>Nov</t>
  </si>
  <si>
    <t>Dec</t>
  </si>
  <si>
    <t>FFP</t>
  </si>
  <si>
    <t>Cost FFP</t>
  </si>
  <si>
    <t>Profit</t>
  </si>
  <si>
    <t>T&amp;M</t>
  </si>
  <si>
    <t>Workable Hours/Month</t>
  </si>
  <si>
    <t>PTO Estimate (days)</t>
  </si>
  <si>
    <t>Total Hours Estimate</t>
  </si>
  <si>
    <t>d</t>
  </si>
  <si>
    <t>Rate</t>
  </si>
  <si>
    <t>Cost T&amp;M</t>
  </si>
  <si>
    <t>Assumes 1099 takes 15 days PTO</t>
  </si>
  <si>
    <t>Assumes a $122 rate for both FFP and T&amp;M</t>
  </si>
  <si>
    <t>Other profit levers: lower the rate or lower the # of hours of their subk</t>
  </si>
  <si>
    <t>Initial Rate Submission</t>
  </si>
  <si>
    <t>For Discussion (Dave)</t>
  </si>
  <si>
    <t>Revised Rate Submission</t>
  </si>
  <si>
    <t>Client Site</t>
  </si>
  <si>
    <t>Contractor Site</t>
  </si>
  <si>
    <t>Agile Coach</t>
  </si>
  <si>
    <t>Delivery Manager</t>
  </si>
  <si>
    <t>Senior PM</t>
  </si>
  <si>
    <t>DIGITAL PERFORMANCE ANALYST II</t>
  </si>
  <si>
    <t>PROGRAM ANALYST</t>
  </si>
  <si>
    <t>SENIOR BUSINESS ANALYST III</t>
  </si>
  <si>
    <t>SCRUM MASTER</t>
  </si>
  <si>
    <t>PRODUCT MANAGER (Emily Wai)</t>
  </si>
  <si>
    <t>USER RESEARCH</t>
  </si>
  <si>
    <t>IRS-Mod</t>
  </si>
  <si>
    <t>Project Lead 1</t>
  </si>
  <si>
    <t>Project Lead 2</t>
  </si>
  <si>
    <t>Senior IT Specialist</t>
  </si>
  <si>
    <t>Program Support Specialist 1</t>
  </si>
  <si>
    <t>Program Support Specialist 2</t>
  </si>
  <si>
    <t>Army Project Staffing Options</t>
  </si>
  <si>
    <t>Option 1: Scott, Dave, in the Coaching $169 LCAT</t>
  </si>
  <si>
    <t>Option 2: Scott at Coach LCAT $169, Dave at $230 Rate</t>
  </si>
  <si>
    <t>Monthly Revenue:</t>
  </si>
  <si>
    <t xml:space="preserve">Monthly Profit: </t>
  </si>
  <si>
    <t>Project %:</t>
  </si>
  <si>
    <t>Scott Sinclair</t>
  </si>
  <si>
    <t>Dave</t>
  </si>
  <si>
    <t>AMS Staffing Model</t>
  </si>
  <si>
    <t>SM - 1099</t>
  </si>
  <si>
    <t>DE - 1099</t>
  </si>
  <si>
    <t>Business Analyst III</t>
  </si>
  <si>
    <t>Sr. Agile Coach - 1099</t>
  </si>
  <si>
    <t>INTERNAL VIEWS ONLY</t>
  </si>
  <si>
    <t>FFP Model</t>
  </si>
  <si>
    <t>T&amp;M Model</t>
  </si>
  <si>
    <t>Project Revenue</t>
  </si>
  <si>
    <t>FFP Amount</t>
  </si>
  <si>
    <t>Hours</t>
  </si>
  <si>
    <t>Project Cost</t>
  </si>
  <si>
    <t>Brad</t>
  </si>
  <si>
    <t>Project Profit</t>
  </si>
  <si>
    <t>Siri</t>
  </si>
  <si>
    <t>Monthly Profit</t>
  </si>
  <si>
    <t>Jess</t>
  </si>
  <si>
    <t>90-day Unburdened Cost</t>
  </si>
  <si>
    <t>$ 90 day revenue</t>
  </si>
  <si>
    <t>$ 90 day cost</t>
  </si>
  <si>
    <t>$ Total Profit</t>
  </si>
  <si>
    <t>% Total Profit</t>
  </si>
  <si>
    <t>Jess (Backend support only)</t>
  </si>
  <si>
    <t>VA FMBT</t>
  </si>
  <si>
    <t>Annual Profit</t>
  </si>
  <si>
    <t>AGILE COACHES</t>
  </si>
  <si>
    <t>Jeanne Foretia</t>
  </si>
  <si>
    <t>Ben Nelson</t>
  </si>
  <si>
    <t>Zikiria Chaudhary</t>
  </si>
  <si>
    <t>SCRUM MASTERS</t>
  </si>
  <si>
    <t>Warda Khan</t>
  </si>
  <si>
    <t>Afong Fru-Wezieh</t>
  </si>
  <si>
    <t>Nahush Gupte</t>
  </si>
  <si>
    <t>Fatima Dainkeh</t>
  </si>
  <si>
    <t>Ganesh Murugan</t>
  </si>
  <si>
    <t>Rajesh Mathur</t>
  </si>
  <si>
    <t>Department of Education AMS Discovery and Assessment</t>
  </si>
  <si>
    <t>Version 2 - After 2023-10-31 discussion with Ned and Ben</t>
  </si>
  <si>
    <t>Option 1: Money Is Not a Major Issue</t>
  </si>
  <si>
    <t>Option 2: Money for Option 1 Is Issue</t>
  </si>
  <si>
    <t>Person</t>
  </si>
  <si>
    <t>Weeks</t>
  </si>
  <si>
    <t>Total Hours</t>
  </si>
  <si>
    <t>Dave Witin</t>
  </si>
  <si>
    <t>Senior Coach</t>
  </si>
  <si>
    <t>Staff Support</t>
  </si>
  <si>
    <t>Travel Expenses</t>
  </si>
  <si>
    <t>Total Including Expenses</t>
  </si>
  <si>
    <t>Contingency %</t>
  </si>
  <si>
    <t>Contingency $</t>
  </si>
  <si>
    <t>Total Including Contingency</t>
  </si>
  <si>
    <t>OLD VERSION - ASSESSMENT</t>
  </si>
  <si>
    <t>Education AMS Price Details</t>
  </si>
  <si>
    <t>Agile Expert (Brad Hunter)</t>
  </si>
  <si>
    <t>Senior Agile Coach (Siri)</t>
  </si>
  <si>
    <t>Sub-Total:</t>
  </si>
  <si>
    <t>Total Fixed Price</t>
  </si>
  <si>
    <t>Shared Understanding</t>
  </si>
  <si>
    <t>1. Brad will work extra hours when required to make the engagement successful.</t>
  </si>
  <si>
    <t>Most of those extra hours will be "behind the scenes."</t>
  </si>
  <si>
    <t>2. The Senior Coach will be onsite roughly 6 days over the 12 weeks.</t>
  </si>
  <si>
    <t>Due to travel, the onsite days will be grouped.</t>
  </si>
  <si>
    <t>3. Senior Coach is part-time for 12 weeks.</t>
  </si>
  <si>
    <t>Role</t>
  </si>
  <si>
    <t>SM</t>
  </si>
  <si>
    <t>BAIII</t>
  </si>
  <si>
    <t>DEIII</t>
  </si>
  <si>
    <t>Total:</t>
  </si>
  <si>
    <t>SM/BAIII</t>
  </si>
  <si>
    <t>DEIII/BAIII</t>
  </si>
  <si>
    <t>Type</t>
  </si>
  <si>
    <t>Base</t>
  </si>
  <si>
    <t>Bonus</t>
  </si>
  <si>
    <t>Offer made?</t>
  </si>
  <si>
    <t>James McPherson</t>
  </si>
  <si>
    <t>Coach / RTE</t>
  </si>
  <si>
    <t>W2</t>
  </si>
  <si>
    <t>Y</t>
  </si>
  <si>
    <t>Nahush</t>
  </si>
  <si>
    <t>$80/hour</t>
  </si>
  <si>
    <t>$90K</t>
  </si>
  <si>
    <t>PT SM</t>
  </si>
  <si>
    <t>$78/hour</t>
  </si>
  <si>
    <t>Sohaida Hamidzada</t>
  </si>
  <si>
    <t>BA</t>
  </si>
  <si>
    <t>$93K</t>
  </si>
  <si>
    <t>Louis Fry V</t>
  </si>
  <si>
    <t>Program Manager</t>
  </si>
  <si>
    <t>Project Manager II</t>
  </si>
  <si>
    <t>LOREN 1099</t>
  </si>
  <si>
    <t>Option</t>
  </si>
  <si>
    <t>Des.</t>
  </si>
  <si>
    <t>Annual Rev</t>
  </si>
  <si>
    <t>% Project Profit</t>
  </si>
  <si>
    <t>PM II cut 7%</t>
  </si>
  <si>
    <t>PM II cut 9% - add 1 resource
PM III (Loren) cut 2%</t>
  </si>
  <si>
    <t>PM II cut 11% - add 2 resources
PM III (Loren) cut 4%</t>
  </si>
  <si>
    <t>Labor Category</t>
  </si>
  <si>
    <t>Resource</t>
  </si>
  <si>
    <t>Current Hourly Rate</t>
  </si>
  <si>
    <t>DISCOUNT</t>
  </si>
  <si>
    <t>New Hourly Rate</t>
  </si>
  <si>
    <t>FTE Count</t>
  </si>
  <si>
    <t>Project Manager III</t>
  </si>
  <si>
    <t>Loren</t>
  </si>
  <si>
    <t>N/A</t>
  </si>
  <si>
    <t>Option 1</t>
  </si>
  <si>
    <t>130K + 10% Bonus (w2)</t>
  </si>
  <si>
    <t>Option 2</t>
  </si>
  <si>
    <t>Opt 3</t>
  </si>
  <si>
    <t>122K + 10% Bonus (w2)</t>
  </si>
  <si>
    <t>Zolon Tech Assessment</t>
  </si>
  <si>
    <t>Time</t>
  </si>
  <si>
    <t>~ 2 months</t>
  </si>
  <si>
    <t>Cost (2 months)</t>
  </si>
  <si>
    <r>
      <rPr>
        <b/>
        <sz val="11"/>
        <color rgb="FF000000"/>
        <rFont val="Calibri"/>
        <scheme val="minor"/>
      </rPr>
      <t>Note</t>
    </r>
    <r>
      <rPr>
        <sz val="11"/>
        <color rgb="FF000000"/>
        <rFont val="Calibri"/>
        <scheme val="minor"/>
      </rPr>
      <t>: payments will be deferred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</si>
</sst>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  <numFmt numFmtId="166" formatCode="&quot;$&quot;#,##0.0"/>
    <numFmt numFmtId="167" formatCode="0.0%"/>
    <numFmt numFmtId="168" formatCode="_(&quot;$&quot;* #,##0_);_(&quot;$&quot;* \(#,##0\);_(&quot;$&quot;* &quot;-&quot;??_);_(@_)"/>
    <numFmt numFmtId="169" formatCode="_(&quot;$&quot;* #,##0.0_);_(&quot;$&quot;* \(#,##0.0\);_(&quot;$&quot;* &quot;-&quot;?_);_(@_)"/>
    <numFmt numFmtId="170" formatCode="_([$$-409]* #,##0.00_);_([$$-409]* \(#,##0.00\);_([$$-409]* &quot;-&quot;??_);_(@_)"/>
    <numFmt numFmtId="171" formatCode="_([$$-409]* #,##0_);_([$$-409]* \(#,##0\);_([$$-409]* &quot;-&quot;??_);_(@_)"/>
    <numFmt numFmtId="172" formatCode="_(* #,##0_);_(* \(#,##0\);_(* &quot;-&quot;??_);_(@_)"/>
    <numFmt numFmtId="173" formatCode="_([$$-409]* #,##0.0_);_([$$-409]* \(#,##0.0\);_([$$-409]* &quot;-&quot;??_);_(@_)"/>
    <numFmt numFmtId="174" formatCode="_(&quot;$&quot;* #,##0.000_);_(&quot;$&quot;* \(#,##0.000\);_(&quot;$&quot;* &quot;-&quot;???_);_(@_)"/>
  </numFmts>
  <fonts count="3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rgb="FF38761D"/>
      <name val="Calibri"/>
      <family val="2"/>
    </font>
    <font>
      <b/>
      <sz val="24"/>
      <color theme="1"/>
      <name val="Calibri"/>
      <family val="2"/>
    </font>
    <font>
      <b/>
      <sz val="11"/>
      <color rgb="FF7E3794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20"/>
      <color theme="1"/>
      <name val="Segoe UI"/>
      <family val="2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b/>
      <sz val="18"/>
      <color theme="1"/>
      <name val="Segoe UI"/>
      <family val="2"/>
    </font>
    <font>
      <b/>
      <sz val="14"/>
      <color theme="1"/>
      <name val="Segoe UI"/>
      <family val="2"/>
    </font>
    <font>
      <b/>
      <sz val="16"/>
      <color theme="1"/>
      <name val="Calibri"/>
      <scheme val="minor"/>
    </font>
    <font>
      <b/>
      <sz val="16"/>
      <color rgb="FFFF0000"/>
      <name val="Calibri"/>
      <scheme val="minor"/>
    </font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scheme val="minor"/>
    </font>
    <font>
      <sz val="11"/>
      <color rgb="FFFF0000"/>
      <name val="Calibri"/>
      <family val="2"/>
    </font>
    <font>
      <b/>
      <sz val="11"/>
      <color theme="1"/>
      <name val="Calibri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scheme val="minor"/>
    </font>
    <font>
      <sz val="20"/>
      <color theme="1"/>
      <name val="Calibri"/>
      <scheme val="minor"/>
    </font>
    <font>
      <b/>
      <sz val="11"/>
      <color rgb="FF000000"/>
      <name val="Calibri"/>
      <scheme val="minor"/>
    </font>
    <font>
      <b/>
      <sz val="24"/>
      <color theme="1"/>
      <name val="Calibri"/>
      <scheme val="minor"/>
    </font>
    <font>
      <b/>
      <strike/>
      <sz val="16"/>
      <color theme="1"/>
      <name val="Calibri"/>
      <family val="2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</font>
    <font>
      <strike/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92D050"/>
      </patternFill>
    </fill>
    <fill>
      <patternFill patternType="solid">
        <fgColor rgb="FFD9E1F2"/>
        <bgColor indexed="64"/>
      </patternFill>
    </fill>
    <fill>
      <patternFill patternType="solid">
        <fgColor theme="8" tint="0.79998168889431442"/>
        <bgColor rgb="FFEFEFEF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rgb="FF92D05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EFEFE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9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9" fillId="0" borderId="0" applyFont="0" applyFill="0" applyBorder="0" applyAlignment="0" applyProtection="0"/>
    <xf numFmtId="0" fontId="17" fillId="0" borderId="1"/>
    <xf numFmtId="9" fontId="17" fillId="0" borderId="1" applyFont="0" applyFill="0" applyBorder="0" applyAlignment="0" applyProtection="0"/>
    <xf numFmtId="43" fontId="25" fillId="0" borderId="0" applyFont="0" applyFill="0" applyBorder="0" applyAlignment="0" applyProtection="0"/>
    <xf numFmtId="0" fontId="30" fillId="14" borderId="0" applyNumberFormat="0" applyBorder="0" applyAlignment="0" applyProtection="0"/>
  </cellStyleXfs>
  <cellXfs count="288">
    <xf numFmtId="0" fontId="0" fillId="0" borderId="0" xfId="0"/>
    <xf numFmtId="0" fontId="2" fillId="0" borderId="0" xfId="0" applyFont="1"/>
    <xf numFmtId="0" fontId="3" fillId="0" borderId="0" xfId="0" applyFont="1"/>
    <xf numFmtId="9" fontId="3" fillId="0" borderId="0" xfId="0" applyNumberFormat="1" applyFont="1"/>
    <xf numFmtId="9" fontId="3" fillId="2" borderId="1" xfId="0" applyNumberFormat="1" applyFont="1" applyFill="1" applyBorder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3" fontId="3" fillId="2" borderId="1" xfId="0" applyNumberFormat="1" applyFont="1" applyFill="1" applyBorder="1"/>
    <xf numFmtId="0" fontId="4" fillId="0" borderId="0" xfId="0" applyFont="1" applyAlignment="1">
      <alignment horizontal="left"/>
    </xf>
    <xf numFmtId="0" fontId="5" fillId="3" borderId="2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164" fontId="6" fillId="2" borderId="2" xfId="0" applyNumberFormat="1" applyFont="1" applyFill="1" applyBorder="1"/>
    <xf numFmtId="164" fontId="6" fillId="0" borderId="2" xfId="0" applyNumberFormat="1" applyFont="1" applyBorder="1"/>
    <xf numFmtId="9" fontId="6" fillId="0" borderId="2" xfId="0" applyNumberFormat="1" applyFont="1" applyBorder="1"/>
    <xf numFmtId="164" fontId="3" fillId="0" borderId="2" xfId="0" applyNumberFormat="1" applyFont="1" applyBorder="1"/>
    <xf numFmtId="9" fontId="3" fillId="0" borderId="2" xfId="0" applyNumberFormat="1" applyFont="1" applyBorder="1"/>
    <xf numFmtId="164" fontId="3" fillId="0" borderId="0" xfId="0" applyNumberFormat="1" applyFont="1"/>
    <xf numFmtId="0" fontId="7" fillId="0" borderId="0" xfId="0" applyFont="1"/>
    <xf numFmtId="0" fontId="5" fillId="4" borderId="1" xfId="0" applyFont="1" applyFill="1" applyBorder="1" applyAlignment="1">
      <alignment horizontal="center" wrapText="1"/>
    </xf>
    <xf numFmtId="165" fontId="3" fillId="2" borderId="1" xfId="0" applyNumberFormat="1" applyFont="1" applyFill="1" applyBorder="1"/>
    <xf numFmtId="165" fontId="3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164" fontId="3" fillId="2" borderId="1" xfId="0" applyNumberFormat="1" applyFont="1" applyFill="1" applyBorder="1"/>
    <xf numFmtId="166" fontId="8" fillId="0" borderId="0" xfId="0" applyNumberFormat="1" applyFont="1"/>
    <xf numFmtId="0" fontId="5" fillId="0" borderId="0" xfId="0" applyFont="1"/>
    <xf numFmtId="10" fontId="3" fillId="5" borderId="1" xfId="0" applyNumberFormat="1" applyFont="1" applyFill="1" applyBorder="1"/>
    <xf numFmtId="164" fontId="5" fillId="0" borderId="0" xfId="0" applyNumberFormat="1" applyFont="1"/>
    <xf numFmtId="167" fontId="3" fillId="2" borderId="1" xfId="0" applyNumberFormat="1" applyFont="1" applyFill="1" applyBorder="1"/>
    <xf numFmtId="44" fontId="5" fillId="4" borderId="1" xfId="0" applyNumberFormat="1" applyFont="1" applyFill="1" applyBorder="1" applyAlignment="1">
      <alignment horizontal="center" wrapText="1"/>
    </xf>
    <xf numFmtId="164" fontId="5" fillId="6" borderId="1" xfId="0" applyNumberFormat="1" applyFont="1" applyFill="1" applyBorder="1" applyAlignment="1">
      <alignment wrapText="1"/>
    </xf>
    <xf numFmtId="168" fontId="5" fillId="0" borderId="0" xfId="0" applyNumberFormat="1" applyFont="1"/>
    <xf numFmtId="44" fontId="3" fillId="0" borderId="0" xfId="0" applyNumberFormat="1" applyFont="1"/>
    <xf numFmtId="0" fontId="5" fillId="0" borderId="6" xfId="0" applyFont="1" applyBorder="1" applyAlignment="1">
      <alignment wrapText="1"/>
    </xf>
    <xf numFmtId="0" fontId="5" fillId="0" borderId="1" xfId="0" applyFont="1" applyBorder="1" applyAlignment="1">
      <alignment wrapText="1"/>
    </xf>
    <xf numFmtId="164" fontId="5" fillId="0" borderId="1" xfId="0" applyNumberFormat="1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/>
    <xf numFmtId="44" fontId="5" fillId="4" borderId="7" xfId="0" applyNumberFormat="1" applyFont="1" applyFill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3" fillId="0" borderId="1" xfId="0" applyFont="1" applyBorder="1" applyAlignment="1">
      <alignment wrapText="1"/>
    </xf>
    <xf numFmtId="165" fontId="3" fillId="0" borderId="7" xfId="0" applyNumberFormat="1" applyFont="1" applyBorder="1"/>
    <xf numFmtId="44" fontId="5" fillId="4" borderId="9" xfId="0" applyNumberFormat="1" applyFont="1" applyFill="1" applyBorder="1" applyAlignment="1">
      <alignment horizontal="center" wrapText="1"/>
    </xf>
    <xf numFmtId="9" fontId="5" fillId="4" borderId="9" xfId="0" applyNumberFormat="1" applyFont="1" applyFill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168" fontId="5" fillId="4" borderId="9" xfId="0" applyNumberFormat="1" applyFont="1" applyFill="1" applyBorder="1" applyAlignment="1">
      <alignment horizontal="center" wrapText="1"/>
    </xf>
    <xf numFmtId="10" fontId="5" fillId="6" borderId="9" xfId="0" applyNumberFormat="1" applyFont="1" applyFill="1" applyBorder="1" applyAlignment="1">
      <alignment horizontal="center" wrapText="1"/>
    </xf>
    <xf numFmtId="168" fontId="5" fillId="4" borderId="10" xfId="0" applyNumberFormat="1" applyFont="1" applyFill="1" applyBorder="1" applyAlignment="1">
      <alignment horizontal="center" wrapText="1"/>
    </xf>
    <xf numFmtId="0" fontId="10" fillId="0" borderId="1" xfId="0" applyFont="1" applyBorder="1"/>
    <xf numFmtId="0" fontId="11" fillId="7" borderId="3" xfId="0" applyFont="1" applyFill="1" applyBorder="1"/>
    <xf numFmtId="0" fontId="0" fillId="7" borderId="4" xfId="0" applyFill="1" applyBorder="1"/>
    <xf numFmtId="0" fontId="0" fillId="7" borderId="5" xfId="0" applyFill="1" applyBorder="1"/>
    <xf numFmtId="168" fontId="5" fillId="8" borderId="8" xfId="0" applyNumberFormat="1" applyFont="1" applyFill="1" applyBorder="1" applyAlignment="1">
      <alignment horizontal="center" wrapText="1"/>
    </xf>
    <xf numFmtId="9" fontId="5" fillId="8" borderId="1" xfId="0" applyNumberFormat="1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9" fontId="5" fillId="8" borderId="6" xfId="0" applyNumberFormat="1" applyFont="1" applyFill="1" applyBorder="1" applyAlignment="1">
      <alignment horizontal="center" wrapText="1"/>
    </xf>
    <xf numFmtId="44" fontId="5" fillId="8" borderId="1" xfId="1" applyFont="1" applyFill="1" applyBorder="1" applyAlignment="1">
      <alignment horizontal="center" wrapText="1"/>
    </xf>
    <xf numFmtId="165" fontId="3" fillId="0" borderId="1" xfId="0" applyNumberFormat="1" applyFont="1" applyBorder="1"/>
    <xf numFmtId="0" fontId="12" fillId="0" borderId="0" xfId="0" applyFont="1" applyAlignment="1">
      <alignment vertical="top"/>
    </xf>
    <xf numFmtId="9" fontId="5" fillId="8" borderId="1" xfId="0" applyNumberFormat="1" applyFont="1" applyFill="1" applyBorder="1" applyAlignment="1">
      <alignment horizontal="center"/>
    </xf>
    <xf numFmtId="0" fontId="13" fillId="7" borderId="4" xfId="2" applyFill="1" applyBorder="1"/>
    <xf numFmtId="169" fontId="0" fillId="0" borderId="0" xfId="0" applyNumberFormat="1"/>
    <xf numFmtId="9" fontId="0" fillId="0" borderId="0" xfId="0" applyNumberFormat="1"/>
    <xf numFmtId="168" fontId="0" fillId="0" borderId="0" xfId="0" applyNumberFormat="1"/>
    <xf numFmtId="44" fontId="0" fillId="0" borderId="0" xfId="0" applyNumberFormat="1"/>
    <xf numFmtId="10" fontId="3" fillId="0" borderId="1" xfId="0" applyNumberFormat="1" applyFont="1" applyBorder="1" applyAlignment="1">
      <alignment wrapText="1"/>
    </xf>
    <xf numFmtId="0" fontId="14" fillId="0" borderId="0" xfId="0" applyFont="1"/>
    <xf numFmtId="0" fontId="15" fillId="0" borderId="0" xfId="0" applyFont="1"/>
    <xf numFmtId="9" fontId="0" fillId="0" borderId="0" xfId="3" applyFont="1"/>
    <xf numFmtId="167" fontId="5" fillId="8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6" fontId="0" fillId="0" borderId="0" xfId="0" applyNumberFormat="1"/>
    <xf numFmtId="8" fontId="0" fillId="0" borderId="0" xfId="0" applyNumberFormat="1"/>
    <xf numFmtId="165" fontId="0" fillId="0" borderId="0" xfId="0" applyNumberFormat="1"/>
    <xf numFmtId="164" fontId="0" fillId="0" borderId="0" xfId="0" applyNumberFormat="1"/>
    <xf numFmtId="168" fontId="5" fillId="9" borderId="8" xfId="0" applyNumberFormat="1" applyFont="1" applyFill="1" applyBorder="1" applyAlignment="1">
      <alignment horizontal="center" wrapText="1"/>
    </xf>
    <xf numFmtId="0" fontId="16" fillId="0" borderId="0" xfId="0" applyFont="1"/>
    <xf numFmtId="0" fontId="5" fillId="0" borderId="0" xfId="0" applyFont="1" applyAlignment="1">
      <alignment wrapText="1"/>
    </xf>
    <xf numFmtId="164" fontId="5" fillId="0" borderId="0" xfId="0" applyNumberFormat="1" applyFont="1" applyAlignment="1">
      <alignment wrapText="1"/>
    </xf>
    <xf numFmtId="9" fontId="5" fillId="8" borderId="0" xfId="0" applyNumberFormat="1" applyFont="1" applyFill="1" applyAlignment="1">
      <alignment horizontal="center"/>
    </xf>
    <xf numFmtId="9" fontId="5" fillId="8" borderId="0" xfId="0" applyNumberFormat="1" applyFont="1" applyFill="1" applyAlignment="1">
      <alignment horizontal="center" wrapText="1"/>
    </xf>
    <xf numFmtId="0" fontId="5" fillId="8" borderId="0" xfId="0" applyFont="1" applyFill="1" applyAlignment="1">
      <alignment horizontal="center" wrapText="1"/>
    </xf>
    <xf numFmtId="44" fontId="5" fillId="8" borderId="0" xfId="1" applyFont="1" applyFill="1" applyAlignment="1">
      <alignment horizontal="center" wrapText="1"/>
    </xf>
    <xf numFmtId="44" fontId="5" fillId="4" borderId="0" xfId="0" applyNumberFormat="1" applyFont="1" applyFill="1" applyAlignment="1">
      <alignment horizontal="center" wrapText="1"/>
    </xf>
    <xf numFmtId="0" fontId="3" fillId="0" borderId="0" xfId="0" applyFont="1" applyAlignment="1">
      <alignment wrapText="1"/>
    </xf>
    <xf numFmtId="164" fontId="5" fillId="6" borderId="0" xfId="0" applyNumberFormat="1" applyFont="1" applyFill="1" applyAlignment="1">
      <alignment wrapText="1"/>
    </xf>
    <xf numFmtId="10" fontId="0" fillId="0" borderId="0" xfId="0" applyNumberFormat="1"/>
    <xf numFmtId="44" fontId="5" fillId="9" borderId="1" xfId="1" applyFont="1" applyFill="1" applyBorder="1" applyAlignment="1">
      <alignment horizontal="center" wrapText="1"/>
    </xf>
    <xf numFmtId="166" fontId="0" fillId="0" borderId="0" xfId="0" applyNumberFormat="1"/>
    <xf numFmtId="170" fontId="0" fillId="0" borderId="0" xfId="0" applyNumberFormat="1"/>
    <xf numFmtId="164" fontId="0" fillId="0" borderId="11" xfId="0" applyNumberFormat="1" applyBorder="1"/>
    <xf numFmtId="0" fontId="0" fillId="0" borderId="1" xfId="0" applyBorder="1"/>
    <xf numFmtId="3" fontId="0" fillId="0" borderId="11" xfId="0" applyNumberFormat="1" applyBorder="1"/>
    <xf numFmtId="3" fontId="0" fillId="0" borderId="12" xfId="0" applyNumberFormat="1" applyBorder="1"/>
    <xf numFmtId="164" fontId="0" fillId="0" borderId="12" xfId="0" applyNumberFormat="1" applyBorder="1"/>
    <xf numFmtId="164" fontId="0" fillId="9" borderId="11" xfId="0" applyNumberFormat="1" applyFill="1" applyBorder="1"/>
    <xf numFmtId="0" fontId="18" fillId="0" borderId="1" xfId="4" applyFont="1"/>
    <xf numFmtId="0" fontId="17" fillId="0" borderId="1" xfId="4"/>
    <xf numFmtId="0" fontId="19" fillId="0" borderId="1" xfId="4" applyFont="1"/>
    <xf numFmtId="8" fontId="17" fillId="0" borderId="1" xfId="4" applyNumberFormat="1"/>
    <xf numFmtId="6" fontId="17" fillId="0" borderId="1" xfId="4" applyNumberFormat="1"/>
    <xf numFmtId="9" fontId="0" fillId="0" borderId="1" xfId="5" applyFont="1"/>
    <xf numFmtId="0" fontId="17" fillId="0" borderId="1" xfId="4" applyAlignment="1">
      <alignment horizontal="right"/>
    </xf>
    <xf numFmtId="0" fontId="20" fillId="0" borderId="1" xfId="4" applyFont="1" applyAlignment="1">
      <alignment horizontal="right"/>
    </xf>
    <xf numFmtId="9" fontId="17" fillId="0" borderId="1" xfId="4" applyNumberFormat="1"/>
    <xf numFmtId="6" fontId="20" fillId="0" borderId="1" xfId="4" applyNumberFormat="1" applyFont="1"/>
    <xf numFmtId="0" fontId="21" fillId="0" borderId="1" xfId="4" applyFont="1"/>
    <xf numFmtId="171" fontId="20" fillId="0" borderId="1" xfId="4" applyNumberFormat="1" applyFont="1"/>
    <xf numFmtId="0" fontId="22" fillId="0" borderId="1" xfId="4" applyFont="1"/>
    <xf numFmtId="0" fontId="17" fillId="0" borderId="1" xfId="4" applyAlignment="1">
      <alignment horizontal="left" indent="2"/>
    </xf>
    <xf numFmtId="0" fontId="23" fillId="0" borderId="1" xfId="0" applyFont="1" applyBorder="1"/>
    <xf numFmtId="0" fontId="24" fillId="0" borderId="1" xfId="0" applyFont="1" applyBorder="1"/>
    <xf numFmtId="0" fontId="14" fillId="0" borderId="11" xfId="0" applyFont="1" applyBorder="1"/>
    <xf numFmtId="0" fontId="14" fillId="0" borderId="1" xfId="0" applyFont="1" applyBorder="1"/>
    <xf numFmtId="3" fontId="0" fillId="0" borderId="0" xfId="0" applyNumberFormat="1"/>
    <xf numFmtId="168" fontId="5" fillId="8" borderId="1" xfId="0" applyNumberFormat="1" applyFont="1" applyFill="1" applyBorder="1" applyAlignment="1">
      <alignment horizontal="center" wrapText="1"/>
    </xf>
    <xf numFmtId="168" fontId="5" fillId="0" borderId="1" xfId="0" applyNumberFormat="1" applyFont="1" applyBorder="1"/>
    <xf numFmtId="168" fontId="5" fillId="8" borderId="1" xfId="1" applyNumberFormat="1" applyFont="1" applyFill="1" applyBorder="1" applyAlignment="1">
      <alignment horizontal="center" wrapText="1"/>
    </xf>
    <xf numFmtId="168" fontId="5" fillId="4" borderId="1" xfId="0" applyNumberFormat="1" applyFont="1" applyFill="1" applyBorder="1" applyAlignment="1">
      <alignment horizontal="center" wrapText="1"/>
    </xf>
    <xf numFmtId="168" fontId="5" fillId="4" borderId="7" xfId="0" applyNumberFormat="1" applyFont="1" applyFill="1" applyBorder="1" applyAlignment="1">
      <alignment horizontal="center" wrapText="1"/>
    </xf>
    <xf numFmtId="168" fontId="3" fillId="0" borderId="6" xfId="0" applyNumberFormat="1" applyFont="1" applyBorder="1" applyAlignment="1">
      <alignment wrapText="1"/>
    </xf>
    <xf numFmtId="168" fontId="3" fillId="0" borderId="1" xfId="0" applyNumberFormat="1" applyFont="1" applyBorder="1" applyAlignment="1">
      <alignment wrapText="1"/>
    </xf>
    <xf numFmtId="168" fontId="3" fillId="0" borderId="7" xfId="0" applyNumberFormat="1" applyFont="1" applyBorder="1"/>
    <xf numFmtId="168" fontId="5" fillId="0" borderId="6" xfId="0" applyNumberFormat="1" applyFont="1" applyBorder="1" applyAlignment="1">
      <alignment wrapText="1"/>
    </xf>
    <xf numFmtId="168" fontId="5" fillId="0" borderId="1" xfId="0" applyNumberFormat="1" applyFont="1" applyBorder="1" applyAlignment="1">
      <alignment wrapText="1"/>
    </xf>
    <xf numFmtId="168" fontId="5" fillId="6" borderId="1" xfId="0" applyNumberFormat="1" applyFont="1" applyFill="1" applyBorder="1" applyAlignment="1">
      <alignment wrapText="1"/>
    </xf>
    <xf numFmtId="168" fontId="5" fillId="0" borderId="7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center" wrapText="1"/>
    </xf>
    <xf numFmtId="167" fontId="5" fillId="0" borderId="1" xfId="3" applyNumberFormat="1" applyFont="1" applyBorder="1" applyAlignment="1">
      <alignment wrapText="1"/>
    </xf>
    <xf numFmtId="0" fontId="3" fillId="0" borderId="13" xfId="0" applyFont="1" applyBorder="1" applyAlignment="1">
      <alignment wrapText="1"/>
    </xf>
    <xf numFmtId="168" fontId="3" fillId="0" borderId="13" xfId="0" applyNumberFormat="1" applyFont="1" applyBorder="1" applyAlignment="1">
      <alignment wrapText="1"/>
    </xf>
    <xf numFmtId="167" fontId="3" fillId="0" borderId="13" xfId="3" applyNumberFormat="1" applyFont="1" applyBorder="1" applyAlignment="1">
      <alignment wrapText="1"/>
    </xf>
    <xf numFmtId="0" fontId="5" fillId="10" borderId="13" xfId="0" applyFont="1" applyFill="1" applyBorder="1" applyAlignment="1">
      <alignment wrapText="1"/>
    </xf>
    <xf numFmtId="168" fontId="14" fillId="10" borderId="13" xfId="0" applyNumberFormat="1" applyFont="1" applyFill="1" applyBorder="1"/>
    <xf numFmtId="168" fontId="5" fillId="10" borderId="13" xfId="0" applyNumberFormat="1" applyFont="1" applyFill="1" applyBorder="1" applyAlignment="1">
      <alignment wrapText="1"/>
    </xf>
    <xf numFmtId="167" fontId="14" fillId="11" borderId="13" xfId="0" applyNumberFormat="1" applyFont="1" applyFill="1" applyBorder="1"/>
    <xf numFmtId="10" fontId="5" fillId="11" borderId="13" xfId="3" applyNumberFormat="1" applyFont="1" applyFill="1" applyBorder="1" applyAlignment="1">
      <alignment wrapText="1"/>
    </xf>
    <xf numFmtId="10" fontId="5" fillId="6" borderId="1" xfId="0" applyNumberFormat="1" applyFont="1" applyFill="1" applyBorder="1" applyAlignment="1">
      <alignment horizontal="center" wrapText="1"/>
    </xf>
    <xf numFmtId="0" fontId="0" fillId="12" borderId="0" xfId="0" applyFill="1"/>
    <xf numFmtId="0" fontId="3" fillId="13" borderId="1" xfId="0" applyFont="1" applyFill="1" applyBorder="1" applyAlignment="1">
      <alignment wrapText="1"/>
    </xf>
    <xf numFmtId="172" fontId="5" fillId="8" borderId="1" xfId="6" applyNumberFormat="1" applyFont="1" applyFill="1" applyBorder="1" applyAlignment="1">
      <alignment horizontal="center" wrapText="1"/>
    </xf>
    <xf numFmtId="167" fontId="3" fillId="0" borderId="13" xfId="0" applyNumberFormat="1" applyFont="1" applyBorder="1" applyAlignment="1">
      <alignment wrapText="1"/>
    </xf>
    <xf numFmtId="171" fontId="0" fillId="0" borderId="0" xfId="0" applyNumberFormat="1"/>
    <xf numFmtId="168" fontId="5" fillId="0" borderId="9" xfId="0" applyNumberFormat="1" applyFont="1" applyBorder="1" applyAlignment="1">
      <alignment horizontal="center" wrapText="1"/>
    </xf>
    <xf numFmtId="10" fontId="5" fillId="0" borderId="9" xfId="0" applyNumberFormat="1" applyFont="1" applyBorder="1" applyAlignment="1">
      <alignment horizontal="center" wrapText="1"/>
    </xf>
    <xf numFmtId="168" fontId="5" fillId="0" borderId="10" xfId="0" applyNumberFormat="1" applyFont="1" applyBorder="1" applyAlignment="1">
      <alignment horizontal="center" wrapText="1"/>
    </xf>
    <xf numFmtId="168" fontId="5" fillId="8" borderId="1" xfId="1" applyNumberFormat="1" applyFont="1" applyFill="1" applyBorder="1" applyAlignment="1">
      <alignment horizontal="left" wrapText="1"/>
    </xf>
    <xf numFmtId="168" fontId="3" fillId="0" borderId="1" xfId="0" applyNumberFormat="1" applyFont="1" applyBorder="1" applyAlignment="1">
      <alignment horizontal="center" wrapText="1"/>
    </xf>
    <xf numFmtId="168" fontId="26" fillId="0" borderId="9" xfId="0" applyNumberFormat="1" applyFont="1" applyBorder="1" applyAlignment="1">
      <alignment horizontal="center" wrapText="1"/>
    </xf>
    <xf numFmtId="10" fontId="26" fillId="0" borderId="9" xfId="0" applyNumberFormat="1" applyFont="1" applyBorder="1" applyAlignment="1">
      <alignment horizontal="center" wrapText="1"/>
    </xf>
    <xf numFmtId="168" fontId="26" fillId="0" borderId="10" xfId="0" applyNumberFormat="1" applyFont="1" applyBorder="1" applyAlignment="1">
      <alignment horizontal="center" wrapText="1"/>
    </xf>
    <xf numFmtId="168" fontId="27" fillId="0" borderId="0" xfId="0" applyNumberFormat="1" applyFont="1"/>
    <xf numFmtId="171" fontId="27" fillId="0" borderId="0" xfId="0" applyNumberFormat="1" applyFont="1"/>
    <xf numFmtId="168" fontId="5" fillId="0" borderId="1" xfId="0" applyNumberFormat="1" applyFont="1" applyBorder="1" applyAlignment="1">
      <alignment horizontal="center" wrapText="1"/>
    </xf>
    <xf numFmtId="10" fontId="5" fillId="0" borderId="1" xfId="0" applyNumberFormat="1" applyFont="1" applyBorder="1" applyAlignment="1">
      <alignment horizontal="center" wrapText="1"/>
    </xf>
    <xf numFmtId="168" fontId="28" fillId="0" borderId="1" xfId="0" applyNumberFormat="1" applyFont="1" applyBorder="1" applyAlignment="1">
      <alignment wrapText="1"/>
    </xf>
    <xf numFmtId="0" fontId="29" fillId="0" borderId="0" xfId="0" applyFont="1"/>
    <xf numFmtId="9" fontId="5" fillId="4" borderId="9" xfId="3" applyFont="1" applyFill="1" applyBorder="1" applyAlignment="1">
      <alignment horizontal="center" wrapText="1"/>
    </xf>
    <xf numFmtId="44" fontId="0" fillId="0" borderId="0" xfId="1" applyFont="1" applyAlignment="1">
      <alignment horizontal="right"/>
    </xf>
    <xf numFmtId="44" fontId="0" fillId="0" borderId="0" xfId="1" applyFont="1"/>
    <xf numFmtId="10" fontId="0" fillId="0" borderId="0" xfId="3" applyNumberFormat="1" applyFont="1"/>
    <xf numFmtId="0" fontId="0" fillId="0" borderId="0" xfId="0" applyAlignment="1">
      <alignment wrapText="1"/>
    </xf>
    <xf numFmtId="10" fontId="0" fillId="0" borderId="0" xfId="1" applyNumberFormat="1" applyFont="1"/>
    <xf numFmtId="0" fontId="0" fillId="0" borderId="0" xfId="1" applyNumberFormat="1" applyFont="1"/>
    <xf numFmtId="0" fontId="0" fillId="0" borderId="0" xfId="1" applyNumberFormat="1" applyFont="1" applyAlignment="1">
      <alignment wrapText="1"/>
    </xf>
    <xf numFmtId="0" fontId="23" fillId="0" borderId="0" xfId="0" applyFont="1"/>
    <xf numFmtId="0" fontId="0" fillId="7" borderId="4" xfId="0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0" fontId="30" fillId="14" borderId="0" xfId="7" applyNumberFormat="1" applyAlignment="1">
      <alignment horizontal="center"/>
    </xf>
    <xf numFmtId="0" fontId="31" fillId="15" borderId="0" xfId="0" applyFont="1" applyFill="1" applyAlignment="1">
      <alignment horizontal="center" wrapText="1"/>
    </xf>
    <xf numFmtId="9" fontId="0" fillId="15" borderId="0" xfId="3" applyFont="1" applyFill="1" applyAlignment="1">
      <alignment horizontal="center"/>
    </xf>
    <xf numFmtId="9" fontId="0" fillId="15" borderId="0" xfId="0" applyNumberFormat="1" applyFill="1" applyAlignment="1">
      <alignment horizontal="center"/>
    </xf>
    <xf numFmtId="0" fontId="0" fillId="0" borderId="0" xfId="0" applyAlignment="1">
      <alignment horizontal="center" wrapText="1"/>
    </xf>
    <xf numFmtId="168" fontId="5" fillId="8" borderId="0" xfId="0" applyNumberFormat="1" applyFont="1" applyFill="1" applyAlignment="1">
      <alignment horizontal="center" wrapText="1"/>
    </xf>
    <xf numFmtId="168" fontId="3" fillId="0" borderId="0" xfId="0" applyNumberFormat="1" applyFont="1" applyAlignment="1">
      <alignment wrapText="1"/>
    </xf>
    <xf numFmtId="168" fontId="5" fillId="8" borderId="0" xfId="1" applyNumberFormat="1" applyFont="1" applyFill="1" applyAlignment="1">
      <alignment horizontal="left" wrapText="1"/>
    </xf>
    <xf numFmtId="168" fontId="5" fillId="4" borderId="0" xfId="0" applyNumberFormat="1" applyFont="1" applyFill="1" applyAlignment="1">
      <alignment horizontal="center" wrapText="1"/>
    </xf>
    <xf numFmtId="168" fontId="5" fillId="0" borderId="0" xfId="0" applyNumberFormat="1" applyFont="1" applyAlignment="1">
      <alignment wrapText="1"/>
    </xf>
    <xf numFmtId="168" fontId="5" fillId="6" borderId="0" xfId="0" applyNumberFormat="1" applyFont="1" applyFill="1" applyAlignment="1">
      <alignment wrapText="1"/>
    </xf>
    <xf numFmtId="0" fontId="32" fillId="0" borderId="0" xfId="0" applyFont="1"/>
    <xf numFmtId="43" fontId="5" fillId="8" borderId="1" xfId="0" applyNumberFormat="1" applyFont="1" applyFill="1" applyBorder="1" applyAlignment="1">
      <alignment horizontal="center" wrapText="1"/>
    </xf>
    <xf numFmtId="43" fontId="5" fillId="8" borderId="0" xfId="0" applyNumberFormat="1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9" fontId="3" fillId="2" borderId="0" xfId="0" applyNumberFormat="1" applyFont="1" applyFill="1"/>
    <xf numFmtId="3" fontId="3" fillId="2" borderId="0" xfId="0" applyNumberFormat="1" applyFont="1" applyFill="1"/>
    <xf numFmtId="165" fontId="3" fillId="2" borderId="0" xfId="0" applyNumberFormat="1" applyFont="1" applyFill="1"/>
    <xf numFmtId="0" fontId="3" fillId="2" borderId="0" xfId="0" applyFont="1" applyFill="1" applyAlignment="1">
      <alignment horizontal="center"/>
    </xf>
    <xf numFmtId="0" fontId="5" fillId="5" borderId="0" xfId="0" applyFont="1" applyFill="1" applyAlignment="1">
      <alignment horizontal="center" wrapText="1"/>
    </xf>
    <xf numFmtId="164" fontId="3" fillId="2" borderId="0" xfId="0" applyNumberFormat="1" applyFont="1" applyFill="1"/>
    <xf numFmtId="10" fontId="3" fillId="5" borderId="0" xfId="0" applyNumberFormat="1" applyFont="1" applyFill="1"/>
    <xf numFmtId="0" fontId="14" fillId="10" borderId="0" xfId="0" applyFont="1" applyFill="1"/>
    <xf numFmtId="0" fontId="0" fillId="10" borderId="0" xfId="0" applyFill="1"/>
    <xf numFmtId="168" fontId="5" fillId="10" borderId="1" xfId="0" applyNumberFormat="1" applyFont="1" applyFill="1" applyBorder="1" applyAlignment="1">
      <alignment wrapText="1"/>
    </xf>
    <xf numFmtId="168" fontId="5" fillId="16" borderId="1" xfId="0" applyNumberFormat="1" applyFont="1" applyFill="1" applyBorder="1" applyAlignment="1">
      <alignment wrapText="1"/>
    </xf>
    <xf numFmtId="168" fontId="5" fillId="10" borderId="7" xfId="0" applyNumberFormat="1" applyFont="1" applyFill="1" applyBorder="1" applyAlignment="1">
      <alignment wrapText="1"/>
    </xf>
    <xf numFmtId="168" fontId="0" fillId="10" borderId="0" xfId="0" applyNumberFormat="1" applyFill="1"/>
    <xf numFmtId="167" fontId="0" fillId="10" borderId="0" xfId="3" applyNumberFormat="1" applyFont="1" applyFill="1"/>
    <xf numFmtId="0" fontId="29" fillId="17" borderId="0" xfId="0" applyFont="1" applyFill="1" applyAlignment="1">
      <alignment horizontal="center"/>
    </xf>
    <xf numFmtId="172" fontId="0" fillId="0" borderId="0" xfId="0" applyNumberFormat="1"/>
    <xf numFmtId="167" fontId="0" fillId="0" borderId="0" xfId="0" applyNumberFormat="1"/>
    <xf numFmtId="0" fontId="29" fillId="0" borderId="0" xfId="0" applyFont="1" applyAlignment="1">
      <alignment horizontal="right"/>
    </xf>
    <xf numFmtId="170" fontId="29" fillId="0" borderId="0" xfId="0" applyNumberFormat="1" applyFont="1"/>
    <xf numFmtId="167" fontId="29" fillId="0" borderId="0" xfId="0" applyNumberFormat="1" applyFont="1"/>
    <xf numFmtId="0" fontId="0" fillId="15" borderId="0" xfId="0" applyFill="1"/>
    <xf numFmtId="9" fontId="0" fillId="15" borderId="0" xfId="0" applyNumberFormat="1" applyFill="1"/>
    <xf numFmtId="172" fontId="0" fillId="15" borderId="0" xfId="0" applyNumberFormat="1" applyFill="1"/>
    <xf numFmtId="170" fontId="0" fillId="15" borderId="0" xfId="0" applyNumberFormat="1" applyFill="1"/>
    <xf numFmtId="167" fontId="0" fillId="15" borderId="0" xfId="0" applyNumberFormat="1" applyFill="1"/>
    <xf numFmtId="173" fontId="0" fillId="0" borderId="0" xfId="0" applyNumberFormat="1"/>
    <xf numFmtId="0" fontId="31" fillId="0" borderId="0" xfId="0" applyFont="1"/>
    <xf numFmtId="0" fontId="34" fillId="0" borderId="0" xfId="0" applyFont="1"/>
    <xf numFmtId="0" fontId="0" fillId="7" borderId="1" xfId="0" applyFill="1" applyBorder="1"/>
    <xf numFmtId="168" fontId="3" fillId="0" borderId="1" xfId="0" applyNumberFormat="1" applyFont="1" applyBorder="1"/>
    <xf numFmtId="0" fontId="35" fillId="7" borderId="3" xfId="0" applyFont="1" applyFill="1" applyBorder="1"/>
    <xf numFmtId="0" fontId="36" fillId="7" borderId="4" xfId="0" applyFont="1" applyFill="1" applyBorder="1"/>
    <xf numFmtId="0" fontId="36" fillId="7" borderId="5" xfId="0" applyFont="1" applyFill="1" applyBorder="1"/>
    <xf numFmtId="0" fontId="36" fillId="0" borderId="0" xfId="0" applyFont="1"/>
    <xf numFmtId="0" fontId="37" fillId="0" borderId="6" xfId="0" applyFont="1" applyBorder="1" applyAlignment="1">
      <alignment wrapText="1"/>
    </xf>
    <xf numFmtId="0" fontId="37" fillId="0" borderId="0" xfId="0" applyFont="1" applyAlignment="1">
      <alignment wrapText="1"/>
    </xf>
    <xf numFmtId="164" fontId="37" fillId="0" borderId="0" xfId="0" applyNumberFormat="1" applyFont="1" applyAlignment="1">
      <alignment wrapText="1"/>
    </xf>
    <xf numFmtId="0" fontId="37" fillId="0" borderId="7" xfId="0" applyFont="1" applyBorder="1" applyAlignment="1">
      <alignment wrapText="1"/>
    </xf>
    <xf numFmtId="9" fontId="37" fillId="8" borderId="6" xfId="0" applyNumberFormat="1" applyFont="1" applyFill="1" applyBorder="1" applyAlignment="1">
      <alignment horizontal="center" wrapText="1"/>
    </xf>
    <xf numFmtId="9" fontId="37" fillId="8" borderId="0" xfId="0" applyNumberFormat="1" applyFont="1" applyFill="1" applyAlignment="1">
      <alignment horizontal="center" wrapText="1"/>
    </xf>
    <xf numFmtId="168" fontId="37" fillId="8" borderId="0" xfId="0" applyNumberFormat="1" applyFont="1" applyFill="1" applyAlignment="1">
      <alignment horizontal="center" wrapText="1"/>
    </xf>
    <xf numFmtId="168" fontId="38" fillId="0" borderId="0" xfId="0" applyNumberFormat="1" applyFont="1" applyAlignment="1">
      <alignment wrapText="1"/>
    </xf>
    <xf numFmtId="168" fontId="37" fillId="8" borderId="0" xfId="1" applyNumberFormat="1" applyFont="1" applyFill="1" applyAlignment="1">
      <alignment horizontal="left" wrapText="1"/>
    </xf>
    <xf numFmtId="168" fontId="37" fillId="4" borderId="0" xfId="0" applyNumberFormat="1" applyFont="1" applyFill="1" applyAlignment="1">
      <alignment horizontal="center" wrapText="1"/>
    </xf>
    <xf numFmtId="168" fontId="37" fillId="4" borderId="7" xfId="0" applyNumberFormat="1" applyFont="1" applyFill="1" applyBorder="1" applyAlignment="1">
      <alignment horizontal="center" wrapText="1"/>
    </xf>
    <xf numFmtId="168" fontId="38" fillId="0" borderId="6" xfId="0" applyNumberFormat="1" applyFont="1" applyBorder="1" applyAlignment="1">
      <alignment wrapText="1"/>
    </xf>
    <xf numFmtId="168" fontId="38" fillId="0" borderId="7" xfId="0" applyNumberFormat="1" applyFont="1" applyBorder="1"/>
    <xf numFmtId="168" fontId="37" fillId="0" borderId="6" xfId="0" applyNumberFormat="1" applyFont="1" applyBorder="1" applyAlignment="1">
      <alignment wrapText="1"/>
    </xf>
    <xf numFmtId="168" fontId="37" fillId="0" borderId="0" xfId="0" applyNumberFormat="1" applyFont="1" applyAlignment="1">
      <alignment wrapText="1"/>
    </xf>
    <xf numFmtId="168" fontId="37" fillId="6" borderId="0" xfId="0" applyNumberFormat="1" applyFont="1" applyFill="1" applyAlignment="1">
      <alignment wrapText="1"/>
    </xf>
    <xf numFmtId="168" fontId="37" fillId="0" borderId="7" xfId="0" applyNumberFormat="1" applyFont="1" applyBorder="1" applyAlignment="1">
      <alignment wrapText="1"/>
    </xf>
    <xf numFmtId="168" fontId="37" fillId="8" borderId="8" xfId="0" applyNumberFormat="1" applyFont="1" applyFill="1" applyBorder="1" applyAlignment="1">
      <alignment horizontal="center" wrapText="1"/>
    </xf>
    <xf numFmtId="168" fontId="37" fillId="4" borderId="9" xfId="0" applyNumberFormat="1" applyFont="1" applyFill="1" applyBorder="1" applyAlignment="1">
      <alignment horizontal="center" wrapText="1"/>
    </xf>
    <xf numFmtId="168" fontId="38" fillId="0" borderId="9" xfId="0" applyNumberFormat="1" applyFont="1" applyBorder="1" applyAlignment="1">
      <alignment horizontal="center" wrapText="1"/>
    </xf>
    <xf numFmtId="10" fontId="37" fillId="6" borderId="9" xfId="0" applyNumberFormat="1" applyFont="1" applyFill="1" applyBorder="1" applyAlignment="1">
      <alignment horizontal="center" wrapText="1"/>
    </xf>
    <xf numFmtId="168" fontId="37" fillId="4" borderId="10" xfId="0" applyNumberFormat="1" applyFont="1" applyFill="1" applyBorder="1" applyAlignment="1">
      <alignment horizontal="center" wrapText="1"/>
    </xf>
    <xf numFmtId="0" fontId="11" fillId="7" borderId="3" xfId="0" applyFont="1" applyFill="1" applyBorder="1" applyAlignment="1">
      <alignment wrapText="1"/>
    </xf>
    <xf numFmtId="168" fontId="29" fillId="0" borderId="0" xfId="0" applyNumberFormat="1" applyFont="1"/>
    <xf numFmtId="9" fontId="29" fillId="0" borderId="0" xfId="0" applyNumberFormat="1" applyFont="1"/>
    <xf numFmtId="10" fontId="0" fillId="0" borderId="0" xfId="0" applyNumberFormat="1" applyAlignment="1">
      <alignment horizontal="left"/>
    </xf>
    <xf numFmtId="168" fontId="5" fillId="0" borderId="3" xfId="0" applyNumberFormat="1" applyFont="1" applyBorder="1" applyAlignment="1">
      <alignment wrapText="1"/>
    </xf>
    <xf numFmtId="168" fontId="5" fillId="0" borderId="4" xfId="0" applyNumberFormat="1" applyFont="1" applyBorder="1" applyAlignment="1">
      <alignment wrapText="1"/>
    </xf>
    <xf numFmtId="168" fontId="5" fillId="6" borderId="4" xfId="0" applyNumberFormat="1" applyFont="1" applyFill="1" applyBorder="1" applyAlignment="1">
      <alignment wrapText="1"/>
    </xf>
    <xf numFmtId="168" fontId="5" fillId="0" borderId="5" xfId="0" applyNumberFormat="1" applyFont="1" applyBorder="1" applyAlignment="1">
      <alignment wrapText="1"/>
    </xf>
    <xf numFmtId="168" fontId="29" fillId="0" borderId="8" xfId="0" applyNumberFormat="1" applyFont="1" applyBorder="1"/>
    <xf numFmtId="168" fontId="29" fillId="0" borderId="9" xfId="0" applyNumberFormat="1" applyFont="1" applyBorder="1"/>
    <xf numFmtId="9" fontId="29" fillId="0" borderId="9" xfId="0" applyNumberFormat="1" applyFont="1" applyBorder="1"/>
    <xf numFmtId="168" fontId="29" fillId="0" borderId="10" xfId="0" applyNumberFormat="1" applyFont="1" applyBorder="1"/>
    <xf numFmtId="9" fontId="3" fillId="5" borderId="9" xfId="3" applyFont="1" applyFill="1" applyBorder="1"/>
    <xf numFmtId="9" fontId="3" fillId="0" borderId="1" xfId="0" applyNumberFormat="1" applyFont="1" applyBorder="1" applyAlignment="1">
      <alignment wrapText="1"/>
    </xf>
    <xf numFmtId="174" fontId="0" fillId="0" borderId="0" xfId="0" applyNumberFormat="1"/>
    <xf numFmtId="168" fontId="0" fillId="0" borderId="0" xfId="1" applyNumberFormat="1" applyFont="1"/>
    <xf numFmtId="0" fontId="0" fillId="0" borderId="13" xfId="0" applyBorder="1"/>
    <xf numFmtId="171" fontId="0" fillId="0" borderId="13" xfId="0" applyNumberFormat="1" applyBorder="1"/>
    <xf numFmtId="168" fontId="0" fillId="0" borderId="13" xfId="1" applyNumberFormat="1" applyFont="1" applyBorder="1"/>
    <xf numFmtId="44" fontId="0" fillId="0" borderId="13" xfId="0" applyNumberFormat="1" applyBorder="1"/>
    <xf numFmtId="9" fontId="5" fillId="18" borderId="1" xfId="0" applyNumberFormat="1" applyFont="1" applyFill="1" applyBorder="1" applyAlignment="1">
      <alignment horizontal="center" wrapText="1"/>
    </xf>
    <xf numFmtId="9" fontId="5" fillId="18" borderId="6" xfId="0" applyNumberFormat="1" applyFont="1" applyFill="1" applyBorder="1" applyAlignment="1">
      <alignment horizontal="center" wrapText="1"/>
    </xf>
    <xf numFmtId="0" fontId="14" fillId="0" borderId="13" xfId="0" applyFont="1" applyBorder="1"/>
    <xf numFmtId="168" fontId="0" fillId="0" borderId="13" xfId="0" applyNumberFormat="1" applyBorder="1"/>
    <xf numFmtId="168" fontId="0" fillId="0" borderId="13" xfId="1" applyNumberFormat="1" applyFont="1" applyFill="1" applyBorder="1"/>
    <xf numFmtId="0" fontId="1" fillId="0" borderId="0" xfId="0" applyFont="1"/>
    <xf numFmtId="0" fontId="1" fillId="0" borderId="13" xfId="0" applyFont="1" applyBorder="1"/>
    <xf numFmtId="172" fontId="0" fillId="0" borderId="13" xfId="6" applyNumberFormat="1" applyFont="1" applyBorder="1"/>
    <xf numFmtId="0" fontId="1" fillId="15" borderId="13" xfId="0" applyFont="1" applyFill="1" applyBorder="1"/>
    <xf numFmtId="168" fontId="14" fillId="15" borderId="0" xfId="0" applyNumberFormat="1" applyFont="1" applyFill="1"/>
    <xf numFmtId="168" fontId="0" fillId="15" borderId="13" xfId="1" applyNumberFormat="1" applyFont="1" applyFill="1" applyBorder="1"/>
    <xf numFmtId="168" fontId="1" fillId="0" borderId="13" xfId="1" applyNumberFormat="1" applyFont="1" applyBorder="1"/>
    <xf numFmtId="0" fontId="1" fillId="0" borderId="1" xfId="0" applyFont="1" applyBorder="1"/>
    <xf numFmtId="0" fontId="11" fillId="7" borderId="3" xfId="0" applyFont="1" applyFill="1" applyBorder="1" applyAlignment="1">
      <alignment horizontal="left"/>
    </xf>
    <xf numFmtId="0" fontId="11" fillId="7" borderId="4" xfId="0" applyFont="1" applyFill="1" applyBorder="1" applyAlignment="1">
      <alignment horizontal="left"/>
    </xf>
    <xf numFmtId="0" fontId="14" fillId="10" borderId="1" xfId="0" applyFont="1" applyFill="1" applyBorder="1" applyAlignment="1">
      <alignment horizontal="center" wrapText="1"/>
    </xf>
    <xf numFmtId="168" fontId="0" fillId="0" borderId="4" xfId="0" applyNumberFormat="1" applyBorder="1" applyAlignment="1">
      <alignment horizontal="left" wrapText="1"/>
    </xf>
    <xf numFmtId="0" fontId="1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8">
    <cellStyle name="Comma" xfId="6" builtinId="3"/>
    <cellStyle name="Currency" xfId="1" builtinId="4"/>
    <cellStyle name="Good" xfId="7" builtinId="26"/>
    <cellStyle name="Hyperlink" xfId="2" builtinId="8"/>
    <cellStyle name="Normal" xfId="0" builtinId="0"/>
    <cellStyle name="Normal 2" xfId="4" xr:uid="{7274ABF6-3FD4-A949-B748-235D35570C6C}"/>
    <cellStyle name="Percent" xfId="3" builtinId="5"/>
    <cellStyle name="Percent 2" xfId="5" xr:uid="{19B6BEC4-A7EF-3441-B7BC-4CFA79591C96}"/>
  </cellStyles>
  <dxfs count="33">
    <dxf>
      <numFmt numFmtId="14" formatCode="0.00%"/>
      <alignment horizontal="center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4" formatCode="0.00%"/>
    </dxf>
    <dxf>
      <numFmt numFmtId="14" formatCode="0.00%"/>
    </dxf>
    <dxf>
      <numFmt numFmtId="34" formatCode="_(&quot;$&quot;* #,##0.00_);_(&quot;$&quot;* \(#,##0.00\);_(&quot;$&quot;* &quot;-&quot;??_);_(@_)"/>
    </dxf>
    <dxf>
      <numFmt numFmtId="0" formatCode="General"/>
    </dxf>
    <dxf>
      <fill>
        <patternFill patternType="solid">
          <fgColor indexed="64"/>
          <bgColor theme="9" tint="0.79998168889431442"/>
        </patternFill>
      </fill>
      <alignment horizontal="center"/>
    </dxf>
    <dxf>
      <alignment horizontal="general" vertical="bottom" textRotation="0" wrapText="1" indent="0" justifyLastLine="0" shrinkToFit="0" readingOrder="0"/>
    </dxf>
    <dxf>
      <numFmt numFmtId="14" formatCode="0.00%"/>
    </dxf>
    <dxf>
      <numFmt numFmtId="14" formatCode="0.00%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fill>
        <patternFill patternType="solid">
          <fgColor indexed="64"/>
          <bgColor theme="9" tint="0.79998168889431442"/>
        </patternFill>
      </fill>
      <alignment horizontal="center"/>
    </dxf>
    <dxf>
      <alignment horizontal="general" vertical="bottom" textRotation="0" wrapText="1" indent="0" justifyLastLine="0" shrinkToFit="0" readingOrder="0"/>
    </dxf>
    <dxf>
      <numFmt numFmtId="14" formatCode="0.00%"/>
    </dxf>
    <dxf>
      <numFmt numFmtId="14" formatCode="0.00%"/>
    </dxf>
    <dxf>
      <numFmt numFmtId="34" formatCode="_(&quot;$&quot;* #,##0.00_);_(&quot;$&quot;* \(#,##0.00\);_(&quot;$&quot;* &quot;-&quot;??_);_(@_)"/>
    </dxf>
    <dxf>
      <numFmt numFmtId="0" formatCode="General"/>
    </dxf>
    <dxf>
      <fill>
        <patternFill patternType="solid">
          <fgColor indexed="64"/>
          <bgColor theme="9" tint="0.79998168889431442"/>
        </patternFill>
      </fill>
      <alignment horizontal="center"/>
    </dxf>
    <dxf>
      <alignment horizontal="general" vertical="bottom" textRotation="0" wrapText="1" indent="0" justifyLastLine="0" shrinkToFit="0" readingOrder="0"/>
    </dxf>
    <dxf>
      <numFmt numFmtId="10" formatCode="&quot;$&quot;#,##0_);[Red]\(&quot;$&quot;#,##0\)"/>
    </dxf>
    <dxf>
      <numFmt numFmtId="0" formatCode="General"/>
    </dxf>
    <dxf>
      <numFmt numFmtId="10" formatCode="&quot;$&quot;#,##0_);[Red]\(&quot;$&quot;#,##0\)"/>
    </dxf>
    <dxf>
      <numFmt numFmtId="10" formatCode="&quot;$&quot;#,##0_);[Red]\(&quot;$&quot;#,##0\)"/>
    </dxf>
    <dxf>
      <numFmt numFmtId="0" formatCode="General"/>
    </dxf>
    <dxf>
      <numFmt numFmtId="10" formatCode="&quot;$&quot;#,##0_);[Red]\(&quot;$&quot;#,##0\)"/>
    </dxf>
    <dxf>
      <numFmt numFmtId="10" formatCode="&quot;$&quot;#,##0_);[Red]\(&quot;$&quot;#,##0\)"/>
    </dxf>
    <dxf>
      <numFmt numFmtId="0" formatCode="General"/>
    </dxf>
    <dxf>
      <numFmt numFmtId="12" formatCode="&quot;$&quot;#,##0.00_);[Red]\(&quot;$&quot;#,##0.00\)"/>
    </dxf>
    <dxf>
      <numFmt numFmtId="10" formatCode="&quot;$&quot;#,##0_);[Red]\(&quot;$&quot;#,##0\)"/>
    </dxf>
    <dxf>
      <numFmt numFmtId="0" formatCode="General"/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267179</xdr:colOff>
      <xdr:row>1</xdr:row>
      <xdr:rowOff>53340</xdr:rowOff>
    </xdr:from>
    <xdr:to>
      <xdr:col>16</xdr:col>
      <xdr:colOff>516572</xdr:colOff>
      <xdr:row>17</xdr:row>
      <xdr:rowOff>134622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2DCCB3-3357-D6D8-B0C7-D55F5100D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5679" y="235903"/>
          <a:ext cx="7872886" cy="281019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rad Hunter" id="{A76F897A-C4D1-42DA-8159-299AB8E1E688}" userId="S::brad.hunter@packagedagile.com::702da67d-1178-488f-bb36-616516c1b759" providerId="AD"/>
  <person displayName="David Witkin" id="{014BAFA3-538B-43FA-819C-F95BDD330559}" userId="S::dave.witkin@packagedagile.com::58dba6be-24ef-4a75-b968-c64f75b504b1" providerId="AD"/>
  <person displayName="Matt Shankle" id="{EC6F9386-C989-C740-A682-264856A1A7A0}" userId="S::matt.shankle@packagedagile.com::dee08426-e502-4f35-8498-aca7cdc6baf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E6B9BA-753A-854A-82E1-A5B5DC6A0F40}" name="Table1" displayName="Table1" ref="B22:G26" totalsRowCount="1">
  <autoFilter ref="B22:G25" xr:uid="{F05A34DB-C30F-498D-84AE-AFB935211894}"/>
  <tableColumns count="6">
    <tableColumn id="1" xr3:uid="{F977552B-0060-634F-82DA-D1BF2CBA52B7}" name="Person"/>
    <tableColumn id="2" xr3:uid="{D1BCBD25-F42E-A44A-829A-D5C67736A806}" name="Rate"/>
    <tableColumn id="3" xr3:uid="{51A39F99-15A4-B741-8BE1-677604D64F81}" name="Hours"/>
    <tableColumn id="4" xr3:uid="{8D33B5AF-ABCC-BE42-81B1-127509B60B2B}" name="Weeks"/>
    <tableColumn id="5" xr3:uid="{29518DE4-C552-104E-87E7-034B7BC74017}" name="Total Hours" dataDxfId="32">
      <calculatedColumnFormula>Table1[[#This Row],[Hours]] * Table1[[#This Row],[Weeks]]</calculatedColumnFormula>
    </tableColumn>
    <tableColumn id="6" xr3:uid="{990550D7-7D8F-8540-8157-5924F7DC3205}" name="Cost" totalsRowFunction="sum" dataDxfId="31" totalsRowDxfId="30">
      <calculatedColumnFormula>Table1[[#This Row],[Rate]] * Table1[[#This Row],[Total Hours]]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176478-09F5-8D4C-9E5A-E21B596A8A3B}" name="Table13" displayName="Table13" ref="B6:G10" totalsRowCount="1">
  <autoFilter ref="B6:G9" xr:uid="{3F905FA8-576F-4C64-83DC-3DAE33809EDA}"/>
  <tableColumns count="6">
    <tableColumn id="1" xr3:uid="{496EF9CE-457E-954D-A4AD-C0014503AC11}" name="Person"/>
    <tableColumn id="2" xr3:uid="{20484EC3-A35A-E74A-913C-5B4DAF6C89DF}" name="Rate"/>
    <tableColumn id="3" xr3:uid="{4578404A-393D-954B-8AF7-725337FF4EE7}" name="Hours"/>
    <tableColumn id="4" xr3:uid="{11DF2CB2-74EA-7C43-B479-6818E85E2522}" name="Weeks"/>
    <tableColumn id="5" xr3:uid="{361E9BBA-BD06-6B40-BF15-23B8CD29FDD7}" name="Total Hours" dataDxfId="29">
      <calculatedColumnFormula>Table13[[#This Row],[Hours]] * Table13[[#This Row],[Weeks]]</calculatedColumnFormula>
    </tableColumn>
    <tableColumn id="6" xr3:uid="{933DFD09-335E-E541-A8F5-9C048DE45D8F}" name="Cost" totalsRowFunction="sum" dataDxfId="28" totalsRowDxfId="27">
      <calculatedColumnFormula>Table13[[#This Row],[Rate]] * Table13[[#This Row],[Total Hours]]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175F62-C2C2-A94A-881C-4937C32A1C7C}" name="Table134" displayName="Table134" ref="J6:O11" totalsRowCount="1">
  <autoFilter ref="J6:O10" xr:uid="{4678EF3D-A768-4EE8-AC4C-9549A243A4FE}"/>
  <tableColumns count="6">
    <tableColumn id="1" xr3:uid="{BA3FD203-19C9-8B44-9A86-EDEF7028E9F1}" name="Person"/>
    <tableColumn id="2" xr3:uid="{27EC245F-7AE5-8F44-8F9F-2CEEB5DF2E9C}" name="Rate"/>
    <tableColumn id="3" xr3:uid="{D0B2C9B3-61FD-7042-A944-1A6B212CA4A5}" name="Hours"/>
    <tableColumn id="4" xr3:uid="{6A80590D-0E04-DC40-AEDF-29B741C65765}" name="Weeks"/>
    <tableColumn id="5" xr3:uid="{CBE780DE-E0AE-1840-9BAB-31737C506570}" name="Total Hours" dataDxfId="26">
      <calculatedColumnFormula>Table134[[#This Row],[Hours]] * Table134[[#This Row],[Weeks]]</calculatedColumnFormula>
    </tableColumn>
    <tableColumn id="6" xr3:uid="{E64FA0A6-51BB-0741-BD5D-D116EF16DFC5}" name="Cost" totalsRowFunction="sum" dataDxfId="25" totalsRowDxfId="24">
      <calculatedColumnFormula>Table134[[#This Row],[Rate]] * Table134[[#This Row],[Total Hours]]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661B8E-775B-5546-A4B8-518B511C5C93}" name="Table135" displayName="Table135" ref="B4:G7" totalsRowShown="0">
  <autoFilter ref="B4:G7" xr:uid="{A5340DF6-BAFC-4B82-A74B-512C8519A99E}"/>
  <tableColumns count="6">
    <tableColumn id="1" xr3:uid="{F4294A8D-2968-D948-85AE-21DA73A79956}" name="Person"/>
    <tableColumn id="3" xr3:uid="{D9989FCC-BB00-2240-AFB8-3E69D1F67312}" name="Hours"/>
    <tableColumn id="4" xr3:uid="{11F0543E-268B-E84F-9102-A87F8F6E7344}" name="Weeks"/>
    <tableColumn id="5" xr3:uid="{E494AB88-910E-6444-A7BA-3840F3FE4A68}" name="Total Hours" dataDxfId="23">
      <calculatedColumnFormula>Table135[[#This Row],[Hours]] * Table135[[#This Row],[Weeks]]</calculatedColumnFormula>
    </tableColumn>
    <tableColumn id="6" xr3:uid="{96DD133C-5220-0541-86BB-6DAF057B34EA}" name="Rate"/>
    <tableColumn id="7" xr3:uid="{CD53482F-A92F-7941-AD3A-F35F2C9B7AE4}" name="Total" dataDxfId="22">
      <calculatedColumnFormula>Table135[[#This Row],[Rate]]*Table135[[#This Row],[Total Hours]]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01B46F-890C-4B7E-8766-1B372F456A92}" name="Table5" displayName="Table5" ref="B37:M40" totalsRowShown="0" headerRowDxfId="21">
  <tableColumns count="12">
    <tableColumn id="1" xr3:uid="{4839E28A-EA45-4CB8-A41D-E9F6F8C57A6D}" name="Labor Category"/>
    <tableColumn id="2" xr3:uid="{F99537BA-DF6B-4D5B-A03C-7FD65B1FB556}" name="Resource"/>
    <tableColumn id="3" xr3:uid="{7B8A3B9C-6D13-4730-98CB-0BA4B5E22F75}" name="Current Hourly Rate"/>
    <tableColumn id="4" xr3:uid="{90626E21-A2AE-4C8C-BB57-75F02040D6D5}" name="PA Hourly Burdened Cost"/>
    <tableColumn id="5" xr3:uid="{D07B9C5F-5353-4923-876C-BB55F892DD36}" name="DISCOUNT" dataDxfId="20" dataCellStyle="Percent"/>
    <tableColumn id="6" xr3:uid="{D4EADEBC-6BFF-4AF1-A3BD-CE64AA3FC0C5}" name="New Hourly Rate">
      <calculatedColumnFormula>Table5[[#This Row],[Current Hourly Rate]]* (1-Table5[[#This Row],[DISCOUNT]])</calculatedColumnFormula>
    </tableColumn>
    <tableColumn id="7" xr3:uid="{5C09E4F6-A859-4B46-AD3E-C4AF21713BF4}" name="FTE Count"/>
    <tableColumn id="8" xr3:uid="{68990633-7E93-43AB-A3A1-6351AC7A5F2C}" name="Hours" dataDxfId="19" dataCellStyle="Currency"/>
    <tableColumn id="9" xr3:uid="{0240903A-FD72-40F0-B909-B1BAEBF1A97B}" name="Annual Rev" dataDxfId="18">
      <calculatedColumnFormula>Table5[[#This Row],[Hours]]*Table5[[#This Row],[New Hourly Rate]]*Table5[[#This Row],[FTE Count]]</calculatedColumnFormula>
    </tableColumn>
    <tableColumn id="10" xr3:uid="{F421E09E-AB14-419C-ABC9-0CB1FA8D44DB}" name="Annual Cost"/>
    <tableColumn id="11" xr3:uid="{61BD7D39-DD64-4603-A668-84728DCA57FD}" name="Annual Profit" dataDxfId="17"/>
    <tableColumn id="12" xr3:uid="{15738305-69AC-4EB7-8316-CC8F4463CE76}" name="% Annual Profit" dataDxfId="16">
      <calculatedColumnFormula>Table5[[#This Row],[Annual Profit]]/Table5[[#This Row],[Annual Cost]]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23391C-E049-4C47-9F8F-F364BCA881DB}" name="Table58" displayName="Table58" ref="B44:M47" totalsRowShown="0" headerRowDxfId="15">
  <tableColumns count="12">
    <tableColumn id="1" xr3:uid="{B27E99AC-A28B-408A-BDDB-BB2FEF1F822D}" name="Labor Category"/>
    <tableColumn id="2" xr3:uid="{7769B3DF-27D4-49D3-9D24-95082981FFB8}" name="Resource"/>
    <tableColumn id="3" xr3:uid="{4CE576FC-0B51-4A1D-A3BB-6570FDD987C4}" name="Current Hourly Rate"/>
    <tableColumn id="4" xr3:uid="{5061564E-3AC1-4308-AB60-D9FF42A40764}" name="PA Hourly Burdened Cost"/>
    <tableColumn id="5" xr3:uid="{F1950E96-5F90-4A3D-8AAC-8A2457708963}" name="DISCOUNT" dataDxfId="14"/>
    <tableColumn id="6" xr3:uid="{C12628A5-0C7C-4573-BC3B-1B99D82C1BD4}" name="New Hourly Rate" dataDxfId="13">
      <calculatedColumnFormula>Table58[[#This Row],[Current Hourly Rate]]* (1-Table58[[#This Row],[DISCOUNT]])</calculatedColumnFormula>
    </tableColumn>
    <tableColumn id="7" xr3:uid="{6C75AC6A-09A9-4FC1-8459-E67567BEE002}" name="FTE Count"/>
    <tableColumn id="8" xr3:uid="{62500A23-D312-4E80-BB76-67EA33BAC823}" name="Hours" dataDxfId="12" dataCellStyle="Currency"/>
    <tableColumn id="9" xr3:uid="{6B2CE3FE-2C0C-4A6C-8871-A816DCFE138A}" name="Annual Rev" dataDxfId="11">
      <calculatedColumnFormula>+Table58[[#This Row],[Hours]]*Table58[[#This Row],[New Hourly Rate]]*Table58[[#This Row],[FTE Count]]</calculatedColumnFormula>
    </tableColumn>
    <tableColumn id="10" xr3:uid="{7EF9ED74-B9DB-46C5-B527-9B71D8931C79}" name="Annual Cost"/>
    <tableColumn id="11" xr3:uid="{2E3D6B94-1DB3-4B64-92CF-D7A82A4755EF}" name="Annual Profit" dataDxfId="10"/>
    <tableColumn id="12" xr3:uid="{51BABF36-0C0D-4CAD-8F57-8541F06E047B}" name="% Annual Profit" dataDxfId="9">
      <calculatedColumnFormula>Table58[[#This Row],[Annual Profit]]/Table58[[#This Row],[Annual Cost]]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18468C-7498-439F-B188-F78C67B1B1CA}" name="Table589" displayName="Table589" ref="B50:M54" totalsRowShown="0" headerRowDxfId="8">
  <tableColumns count="12">
    <tableColumn id="1" xr3:uid="{0B3A9FA5-ACDE-410F-9490-DF517FEAAE23}" name="Labor Category"/>
    <tableColumn id="2" xr3:uid="{43A9F70C-5FD5-4EBB-A1D5-B971142BF8E7}" name="Resource"/>
    <tableColumn id="3" xr3:uid="{CBE6A546-16E3-4535-84D7-62FB0E2D50B8}" name="Current Hourly Rate"/>
    <tableColumn id="4" xr3:uid="{C7B506BD-B8C6-4FB0-A07C-C9ECB68C8D67}" name="PA Hourly Burdened Cost"/>
    <tableColumn id="5" xr3:uid="{F087176A-4E10-4C0C-9425-E3C61C21EC9A}" name="DISCOUNT" dataDxfId="7"/>
    <tableColumn id="6" xr3:uid="{0082253B-1BDE-4724-93E4-EC027DB2884D}" name="New Hourly Rate">
      <calculatedColumnFormula>Table589[[#This Row],[Current Hourly Rate]]* (1-Table589[[#This Row],[DISCOUNT]])</calculatedColumnFormula>
    </tableColumn>
    <tableColumn id="7" xr3:uid="{7632D576-A04E-4F3B-A785-B3A40B8725D6}" name="FTE Count"/>
    <tableColumn id="8" xr3:uid="{C4EB9834-922A-42C7-979F-1B702ED08D07}" name="Hours" dataDxfId="6" dataCellStyle="Currency"/>
    <tableColumn id="9" xr3:uid="{2D09A5F8-5A84-4F32-BBC9-A5EDFF055F02}" name="Annual Rev" dataDxfId="5">
      <calculatedColumnFormula>+Table589[[#This Row],[Hours]]*Table589[[#This Row],[New Hourly Rate]]*Table589[[#This Row],[FTE Count]]</calculatedColumnFormula>
    </tableColumn>
    <tableColumn id="10" xr3:uid="{80E5DB71-7E99-4B8C-913E-50D391858974}" name="Annual Cost"/>
    <tableColumn id="11" xr3:uid="{A7220D45-037B-4AB8-938F-31E6675B5E1C}" name="Annual Profit" dataDxfId="4"/>
    <tableColumn id="12" xr3:uid="{FFCE6947-ECFD-4DF6-B1B3-1131EDAE78A7}" name="% Annual Profit" dataDxfId="3">
      <calculatedColumnFormula>Table589[[#This Row],[Annual Profit]]/Table589[[#This Row],[Annual Cost]]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FFC5465-F44C-4988-8815-E77F8818D861}" name="Table9" displayName="Table9" ref="B31:F34" totalsRowShown="0">
  <tableColumns count="5">
    <tableColumn id="1" xr3:uid="{0386B262-7795-48FF-BEAD-FE36584EE9BB}" name="Option"/>
    <tableColumn id="2" xr3:uid="{6DE44BA1-663E-4A21-B1A6-12230393990A}" name="Des."/>
    <tableColumn id="3" xr3:uid="{8DF307AE-E257-4F77-94D9-03640F2988F0}" name="Annual Rev" dataDxfId="2">
      <calculatedColumnFormula>SUM(Table5[Annual Rev])</calculatedColumnFormula>
    </tableColumn>
    <tableColumn id="4" xr3:uid="{BA4DBFD2-5CE7-41CB-852E-7C608C6383BC}" name="Annual Profit" dataDxfId="1">
      <calculatedColumnFormula>SUM(L45:L46)</calculatedColumnFormula>
    </tableColumn>
    <tableColumn id="5" xr3:uid="{2E1FD5A3-4E3E-4DD5-943A-2AEB59615EFB}" name="% Project Profit" dataDxfId="0" dataCellStyle="Good">
      <calculatedColumnFormula>M39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7" dT="2022-10-17T17:34:42.59" personId="{EC6F9386-C989-C740-A682-264856A1A7A0}" id="{A956777D-16FA-4D4E-BFBE-290CDC4D358F}">
    <text>120-130 was his ask</text>
  </threadedComment>
  <threadedComment ref="B77" dT="2022-10-17T18:33:31.24" personId="{014BAFA3-538B-43FA-819C-F95BDD330559}" id="{45A1ACE6-2072-4016-8B70-26BFFC77DAAA}" parentId="{A956777D-16FA-4D4E-BFBE-290CDC4D358F}">
    <text>Thanks. Today he said $120 - $135k. $125k is reasonable. He said he's at $117k today, so $125k is a modest bump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3" dT="2024-05-31T17:38:47.70" personId="{A76F897A-C4D1-42DA-8159-299AB8E1E688}" id="{0F2C0158-A51C-4F86-939D-1C09EC3FE460}">
    <text>Reduced from $270K'ish since Dave's time is split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8" dT="2023-10-31T17:14:38.67" personId="{014BAFA3-538B-43FA-819C-F95BDD330559}" id="{D5A08F65-9616-7440-820E-181FBF9B0B97}">
    <text>Reduced to account for 3 holidays.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microsoft.com/office/2017/10/relationships/threadedComment" Target="../threadedComments/threadedComment3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8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9.vml"/><Relationship Id="rId6" Type="http://schemas.openxmlformats.org/officeDocument/2006/relationships/comments" Target="../comments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>
      <pane ySplit="8" topLeftCell="A27" activePane="bottomLeft" state="frozen"/>
      <selection pane="bottomLeft" activeCell="F27" sqref="F27"/>
    </sheetView>
  </sheetViews>
  <sheetFormatPr defaultColWidth="14.44140625" defaultRowHeight="15" customHeight="1" x14ac:dyDescent="0.3"/>
  <cols>
    <col min="1" max="1" width="12.44140625" customWidth="1"/>
    <col min="2" max="2" width="14" customWidth="1"/>
    <col min="3" max="3" width="11.6640625" customWidth="1"/>
    <col min="4" max="6" width="14" customWidth="1"/>
    <col min="7" max="7" width="4.33203125" customWidth="1"/>
    <col min="8" max="10" width="12.44140625" customWidth="1"/>
    <col min="11" max="11" width="11.109375" customWidth="1"/>
    <col min="12" max="13" width="12.44140625" customWidth="1"/>
    <col min="14" max="14" width="14.109375" customWidth="1"/>
    <col min="15" max="15" width="4.33203125" customWidth="1"/>
    <col min="16" max="21" width="12.44140625" customWidth="1"/>
    <col min="22" max="22" width="14.6640625" customWidth="1"/>
  </cols>
  <sheetData>
    <row r="1" spans="1:22" ht="23.4" x14ac:dyDescent="0.45">
      <c r="A1" s="1" t="s">
        <v>0</v>
      </c>
    </row>
    <row r="2" spans="1:22" ht="14.4" x14ac:dyDescent="0.3">
      <c r="D2" s="2"/>
      <c r="E2" s="3"/>
      <c r="F2" s="2"/>
      <c r="K2" s="3"/>
      <c r="L2" s="2"/>
      <c r="M2" s="3"/>
      <c r="N2" s="2"/>
      <c r="S2" s="3"/>
      <c r="T2" s="2"/>
      <c r="U2" s="3"/>
      <c r="V2" s="2"/>
    </row>
    <row r="3" spans="1:22" ht="14.4" x14ac:dyDescent="0.3">
      <c r="C3" s="4">
        <v>0.13</v>
      </c>
      <c r="D3" s="2" t="s">
        <v>1</v>
      </c>
      <c r="E3" s="4">
        <v>0.12</v>
      </c>
      <c r="F3" s="2" t="s">
        <v>2</v>
      </c>
      <c r="K3" s="4">
        <v>0</v>
      </c>
      <c r="L3" s="2" t="s">
        <v>1</v>
      </c>
      <c r="M3" s="4">
        <v>0</v>
      </c>
      <c r="N3" s="2" t="s">
        <v>2</v>
      </c>
      <c r="S3" s="4">
        <v>0.03</v>
      </c>
      <c r="T3" s="2" t="s">
        <v>1</v>
      </c>
      <c r="U3" s="4">
        <v>0.12</v>
      </c>
      <c r="V3" s="2" t="s">
        <v>2</v>
      </c>
    </row>
    <row r="4" spans="1:22" ht="14.4" x14ac:dyDescent="0.3">
      <c r="A4" s="2"/>
      <c r="B4" s="2"/>
      <c r="C4" s="4">
        <v>0.1</v>
      </c>
      <c r="D4" s="5" t="s">
        <v>3</v>
      </c>
      <c r="E4" s="4">
        <v>0.1</v>
      </c>
      <c r="F4" s="2" t="s">
        <v>4</v>
      </c>
      <c r="I4" s="2"/>
      <c r="J4" s="2"/>
      <c r="K4" s="4">
        <v>0</v>
      </c>
      <c r="L4" s="5" t="s">
        <v>3</v>
      </c>
      <c r="M4" s="4">
        <v>0.1</v>
      </c>
      <c r="N4" s="2" t="s">
        <v>4</v>
      </c>
      <c r="Q4" s="2"/>
      <c r="R4" s="2"/>
      <c r="S4" s="4">
        <v>0.1</v>
      </c>
      <c r="T4" s="5" t="s">
        <v>3</v>
      </c>
      <c r="U4" s="4">
        <v>0.05</v>
      </c>
      <c r="V4" s="2" t="s">
        <v>4</v>
      </c>
    </row>
    <row r="5" spans="1:22" ht="14.4" x14ac:dyDescent="0.3">
      <c r="A5" s="6"/>
      <c r="B5" s="6"/>
      <c r="C5" s="7">
        <v>1880</v>
      </c>
      <c r="D5" s="2" t="s">
        <v>5</v>
      </c>
      <c r="E5" s="4">
        <v>0.25</v>
      </c>
      <c r="F5" s="2" t="s">
        <v>6</v>
      </c>
      <c r="G5" s="6"/>
      <c r="H5" s="6"/>
      <c r="I5" s="6"/>
      <c r="J5" s="6"/>
      <c r="K5" s="7">
        <v>1880</v>
      </c>
      <c r="L5" s="2" t="s">
        <v>5</v>
      </c>
      <c r="M5" s="4">
        <v>0.25</v>
      </c>
      <c r="N5" s="2" t="s">
        <v>6</v>
      </c>
      <c r="Q5" s="6"/>
      <c r="R5" s="6"/>
      <c r="S5" s="7">
        <v>1880</v>
      </c>
      <c r="T5" s="2" t="s">
        <v>5</v>
      </c>
      <c r="U5" s="4">
        <v>0.2</v>
      </c>
      <c r="V5" s="2" t="s">
        <v>6</v>
      </c>
    </row>
    <row r="6" spans="1:22" ht="18" x14ac:dyDescent="0.35">
      <c r="A6" s="8"/>
      <c r="B6" s="6"/>
      <c r="C6" s="6"/>
      <c r="D6" s="6"/>
      <c r="E6" s="6"/>
      <c r="F6" s="6"/>
      <c r="G6" s="6"/>
      <c r="H6" s="6"/>
      <c r="I6" s="8"/>
      <c r="J6" s="8"/>
      <c r="K6" s="6"/>
      <c r="L6" s="6"/>
      <c r="M6" s="6"/>
      <c r="N6" s="6"/>
      <c r="Q6" s="8"/>
      <c r="R6" s="8"/>
    </row>
    <row r="7" spans="1:22" ht="18" x14ac:dyDescent="0.35">
      <c r="A7" s="8" t="s">
        <v>7</v>
      </c>
      <c r="B7" s="6"/>
      <c r="C7" s="6"/>
      <c r="D7" s="6"/>
      <c r="E7" s="6"/>
      <c r="F7" s="6"/>
      <c r="G7" s="6"/>
      <c r="H7" s="6"/>
      <c r="I7" s="8" t="s">
        <v>8</v>
      </c>
      <c r="K7" s="6"/>
      <c r="L7" s="6"/>
      <c r="M7" s="6"/>
      <c r="N7" s="6"/>
      <c r="Q7" s="8" t="s">
        <v>9</v>
      </c>
    </row>
    <row r="8" spans="1:22" ht="43.2" x14ac:dyDescent="0.3">
      <c r="A8" s="9" t="s">
        <v>10</v>
      </c>
      <c r="B8" s="9" t="s">
        <v>11</v>
      </c>
      <c r="C8" s="9" t="s">
        <v>12</v>
      </c>
      <c r="D8" s="9" t="s">
        <v>13</v>
      </c>
      <c r="E8" s="9" t="s">
        <v>14</v>
      </c>
      <c r="F8" s="9" t="s">
        <v>15</v>
      </c>
      <c r="I8" s="9" t="s">
        <v>16</v>
      </c>
      <c r="J8" s="9" t="s">
        <v>11</v>
      </c>
      <c r="K8" s="9" t="s">
        <v>12</v>
      </c>
      <c r="L8" s="9" t="s">
        <v>13</v>
      </c>
      <c r="M8" s="9" t="s">
        <v>14</v>
      </c>
      <c r="N8" s="9" t="s">
        <v>15</v>
      </c>
      <c r="Q8" s="10" t="s">
        <v>10</v>
      </c>
      <c r="R8" s="9" t="s">
        <v>11</v>
      </c>
      <c r="S8" s="9" t="s">
        <v>12</v>
      </c>
      <c r="T8" s="9" t="s">
        <v>13</v>
      </c>
      <c r="U8" s="9" t="s">
        <v>14</v>
      </c>
      <c r="V8" s="9" t="s">
        <v>15</v>
      </c>
    </row>
    <row r="9" spans="1:22" ht="15.75" customHeight="1" x14ac:dyDescent="0.3">
      <c r="A9" s="11">
        <v>115000</v>
      </c>
      <c r="B9" s="12">
        <f t="shared" ref="B9:B38" si="0">A9 / nrHoursPerYear</f>
        <v>61.170212765957444</v>
      </c>
      <c r="C9" s="13">
        <f t="shared" ref="C9:C38" si="1">SUM($C$3,$E$3,$E$4,$C$4)</f>
        <v>0.44999999999999996</v>
      </c>
      <c r="D9" s="12">
        <f t="shared" ref="D9:D38" si="2">(A9 * C9) / nrHoursPerYear</f>
        <v>27.526595744680847</v>
      </c>
      <c r="E9" s="12">
        <f t="shared" ref="E9:E38" si="3">B9 + D9</f>
        <v>88.696808510638292</v>
      </c>
      <c r="F9" s="12">
        <f t="shared" ref="F9:F38" si="4">E9 * (1+nrTargetProfitPct)</f>
        <v>110.87101063829786</v>
      </c>
      <c r="I9" s="12"/>
      <c r="J9" s="11">
        <v>172</v>
      </c>
      <c r="K9" s="13">
        <f t="shared" ref="K9:K38" si="5">SUM($K$3,$M$3,$M$4, $K$4)</f>
        <v>0.1</v>
      </c>
      <c r="L9" s="12">
        <f t="shared" ref="L9:L38" si="6">J9 * K9</f>
        <v>17.2</v>
      </c>
      <c r="M9" s="12">
        <f t="shared" ref="M9:M38" si="7">J9 + L9</f>
        <v>189.2</v>
      </c>
      <c r="N9" s="12">
        <f t="shared" ref="N9:N38" si="8">M9 * (1+nrTargetProfitPct)</f>
        <v>236.5</v>
      </c>
      <c r="Q9" s="11">
        <v>125000</v>
      </c>
      <c r="R9" s="14">
        <f>Q9 / nrHoursPerYear</f>
        <v>66.489361702127653</v>
      </c>
      <c r="S9" s="15">
        <f t="shared" ref="S9:S38" si="9">SUM($S$3,$U$3,$U$4,$S$4)</f>
        <v>0.30000000000000004</v>
      </c>
      <c r="T9" s="14">
        <f t="shared" ref="T9:T38" si="10">R9 * S9</f>
        <v>19.946808510638299</v>
      </c>
      <c r="U9" s="14">
        <f t="shared" ref="U9:U38" si="11">R9 + T9</f>
        <v>86.436170212765944</v>
      </c>
      <c r="V9" s="14">
        <f t="shared" ref="V9:V38" si="12">U9 * (1+nrTargetProfitPct3)</f>
        <v>103.72340425531912</v>
      </c>
    </row>
    <row r="10" spans="1:22" ht="15.75" customHeight="1" x14ac:dyDescent="0.3">
      <c r="A10" s="14">
        <v>200000</v>
      </c>
      <c r="B10" s="14">
        <f t="shared" si="0"/>
        <v>106.38297872340425</v>
      </c>
      <c r="C10" s="15">
        <f t="shared" si="1"/>
        <v>0.44999999999999996</v>
      </c>
      <c r="D10" s="14">
        <f t="shared" si="2"/>
        <v>47.87234042553191</v>
      </c>
      <c r="E10" s="14">
        <f t="shared" si="3"/>
        <v>154.25531914893617</v>
      </c>
      <c r="F10" s="14">
        <f t="shared" si="4"/>
        <v>192.81914893617022</v>
      </c>
      <c r="I10" s="16">
        <f t="shared" ref="I10:I38" si="13">J10*$K$5</f>
        <v>376000</v>
      </c>
      <c r="J10" s="14">
        <v>200</v>
      </c>
      <c r="K10" s="15">
        <f t="shared" si="5"/>
        <v>0.1</v>
      </c>
      <c r="L10" s="14">
        <f t="shared" si="6"/>
        <v>20</v>
      </c>
      <c r="M10" s="14">
        <f t="shared" si="7"/>
        <v>220</v>
      </c>
      <c r="N10" s="14">
        <f t="shared" si="8"/>
        <v>275</v>
      </c>
      <c r="Q10" s="16">
        <f t="shared" ref="Q10:Q38" si="14">R10*$S$5</f>
        <v>376000</v>
      </c>
      <c r="R10" s="14">
        <v>200</v>
      </c>
      <c r="S10" s="15">
        <f t="shared" si="9"/>
        <v>0.30000000000000004</v>
      </c>
      <c r="T10" s="14">
        <f t="shared" si="10"/>
        <v>60.000000000000007</v>
      </c>
      <c r="U10" s="14">
        <f t="shared" si="11"/>
        <v>260</v>
      </c>
      <c r="V10" s="14">
        <f t="shared" si="12"/>
        <v>312</v>
      </c>
    </row>
    <row r="11" spans="1:22" ht="14.4" x14ac:dyDescent="0.3">
      <c r="A11" s="14">
        <f t="shared" ref="A11:A38" si="15">A10 - 5000</f>
        <v>195000</v>
      </c>
      <c r="B11" s="14">
        <f t="shared" si="0"/>
        <v>103.72340425531915</v>
      </c>
      <c r="C11" s="15">
        <f t="shared" si="1"/>
        <v>0.44999999999999996</v>
      </c>
      <c r="D11" s="14">
        <f t="shared" si="2"/>
        <v>46.675531914893611</v>
      </c>
      <c r="E11" s="14">
        <f t="shared" si="3"/>
        <v>150.39893617021278</v>
      </c>
      <c r="F11" s="14">
        <f t="shared" si="4"/>
        <v>187.99867021276597</v>
      </c>
      <c r="I11" s="16">
        <f t="shared" si="13"/>
        <v>366600</v>
      </c>
      <c r="J11" s="14">
        <f t="shared" ref="J11:J38" si="16">J10 - 5</f>
        <v>195</v>
      </c>
      <c r="K11" s="15">
        <f t="shared" si="5"/>
        <v>0.1</v>
      </c>
      <c r="L11" s="14">
        <f t="shared" si="6"/>
        <v>19.5</v>
      </c>
      <c r="M11" s="14">
        <f t="shared" si="7"/>
        <v>214.5</v>
      </c>
      <c r="N11" s="14">
        <f t="shared" si="8"/>
        <v>268.125</v>
      </c>
      <c r="Q11" s="16">
        <f t="shared" si="14"/>
        <v>366600</v>
      </c>
      <c r="R11" s="14">
        <f t="shared" ref="R11:R38" si="17">R10 - 5</f>
        <v>195</v>
      </c>
      <c r="S11" s="15">
        <f t="shared" si="9"/>
        <v>0.30000000000000004</v>
      </c>
      <c r="T11" s="14">
        <f t="shared" si="10"/>
        <v>58.500000000000007</v>
      </c>
      <c r="U11" s="14">
        <f t="shared" si="11"/>
        <v>253.5</v>
      </c>
      <c r="V11" s="14">
        <f t="shared" si="12"/>
        <v>304.2</v>
      </c>
    </row>
    <row r="12" spans="1:22" ht="14.4" x14ac:dyDescent="0.3">
      <c r="A12" s="14">
        <f t="shared" si="15"/>
        <v>190000</v>
      </c>
      <c r="B12" s="14">
        <f t="shared" si="0"/>
        <v>101.06382978723404</v>
      </c>
      <c r="C12" s="15">
        <f t="shared" si="1"/>
        <v>0.44999999999999996</v>
      </c>
      <c r="D12" s="14">
        <f t="shared" si="2"/>
        <v>45.478723404255312</v>
      </c>
      <c r="E12" s="14">
        <f t="shared" si="3"/>
        <v>146.54255319148936</v>
      </c>
      <c r="F12" s="14">
        <f t="shared" si="4"/>
        <v>183.17819148936169</v>
      </c>
      <c r="I12" s="16">
        <f t="shared" si="13"/>
        <v>357200</v>
      </c>
      <c r="J12" s="14">
        <f t="shared" si="16"/>
        <v>190</v>
      </c>
      <c r="K12" s="15">
        <f t="shared" si="5"/>
        <v>0.1</v>
      </c>
      <c r="L12" s="14">
        <f t="shared" si="6"/>
        <v>19</v>
      </c>
      <c r="M12" s="14">
        <f t="shared" si="7"/>
        <v>209</v>
      </c>
      <c r="N12" s="14">
        <f t="shared" si="8"/>
        <v>261.25</v>
      </c>
      <c r="Q12" s="16">
        <f t="shared" si="14"/>
        <v>357200</v>
      </c>
      <c r="R12" s="14">
        <f t="shared" si="17"/>
        <v>190</v>
      </c>
      <c r="S12" s="15">
        <f t="shared" si="9"/>
        <v>0.30000000000000004</v>
      </c>
      <c r="T12" s="14">
        <f t="shared" si="10"/>
        <v>57.000000000000007</v>
      </c>
      <c r="U12" s="14">
        <f t="shared" si="11"/>
        <v>247</v>
      </c>
      <c r="V12" s="14">
        <f t="shared" si="12"/>
        <v>296.39999999999998</v>
      </c>
    </row>
    <row r="13" spans="1:22" ht="14.4" x14ac:dyDescent="0.3">
      <c r="A13" s="14">
        <f t="shared" si="15"/>
        <v>185000</v>
      </c>
      <c r="B13" s="14">
        <f t="shared" si="0"/>
        <v>98.40425531914893</v>
      </c>
      <c r="C13" s="15">
        <f t="shared" si="1"/>
        <v>0.44999999999999996</v>
      </c>
      <c r="D13" s="14">
        <f t="shared" si="2"/>
        <v>44.281914893617014</v>
      </c>
      <c r="E13" s="14">
        <f t="shared" si="3"/>
        <v>142.68617021276594</v>
      </c>
      <c r="F13" s="14">
        <f t="shared" si="4"/>
        <v>178.35771276595744</v>
      </c>
      <c r="I13" s="16">
        <f t="shared" si="13"/>
        <v>347800</v>
      </c>
      <c r="J13" s="14">
        <f t="shared" si="16"/>
        <v>185</v>
      </c>
      <c r="K13" s="15">
        <f t="shared" si="5"/>
        <v>0.1</v>
      </c>
      <c r="L13" s="14">
        <f t="shared" si="6"/>
        <v>18.5</v>
      </c>
      <c r="M13" s="14">
        <f t="shared" si="7"/>
        <v>203.5</v>
      </c>
      <c r="N13" s="14">
        <f t="shared" si="8"/>
        <v>254.375</v>
      </c>
      <c r="Q13" s="16">
        <f t="shared" si="14"/>
        <v>347800</v>
      </c>
      <c r="R13" s="14">
        <f t="shared" si="17"/>
        <v>185</v>
      </c>
      <c r="S13" s="15">
        <f t="shared" si="9"/>
        <v>0.30000000000000004</v>
      </c>
      <c r="T13" s="14">
        <f t="shared" si="10"/>
        <v>55.500000000000007</v>
      </c>
      <c r="U13" s="14">
        <f t="shared" si="11"/>
        <v>240.5</v>
      </c>
      <c r="V13" s="14">
        <f t="shared" si="12"/>
        <v>288.59999999999997</v>
      </c>
    </row>
    <row r="14" spans="1:22" ht="14.4" x14ac:dyDescent="0.3">
      <c r="A14" s="14">
        <f t="shared" si="15"/>
        <v>180000</v>
      </c>
      <c r="B14" s="14">
        <f t="shared" si="0"/>
        <v>95.744680851063833</v>
      </c>
      <c r="C14" s="15">
        <f t="shared" si="1"/>
        <v>0.44999999999999996</v>
      </c>
      <c r="D14" s="14">
        <f t="shared" si="2"/>
        <v>43.085106382978715</v>
      </c>
      <c r="E14" s="14">
        <f t="shared" si="3"/>
        <v>138.82978723404256</v>
      </c>
      <c r="F14" s="14">
        <f t="shared" si="4"/>
        <v>173.53723404255319</v>
      </c>
      <c r="I14" s="16">
        <f t="shared" si="13"/>
        <v>338400</v>
      </c>
      <c r="J14" s="14">
        <f t="shared" si="16"/>
        <v>180</v>
      </c>
      <c r="K14" s="15">
        <f t="shared" si="5"/>
        <v>0.1</v>
      </c>
      <c r="L14" s="14">
        <f t="shared" si="6"/>
        <v>18</v>
      </c>
      <c r="M14" s="14">
        <f t="shared" si="7"/>
        <v>198</v>
      </c>
      <c r="N14" s="14">
        <f t="shared" si="8"/>
        <v>247.5</v>
      </c>
      <c r="Q14" s="16">
        <f t="shared" si="14"/>
        <v>338400</v>
      </c>
      <c r="R14" s="14">
        <f t="shared" si="17"/>
        <v>180</v>
      </c>
      <c r="S14" s="15">
        <f t="shared" si="9"/>
        <v>0.30000000000000004</v>
      </c>
      <c r="T14" s="14">
        <f t="shared" si="10"/>
        <v>54.000000000000007</v>
      </c>
      <c r="U14" s="14">
        <f t="shared" si="11"/>
        <v>234</v>
      </c>
      <c r="V14" s="14">
        <f t="shared" si="12"/>
        <v>280.8</v>
      </c>
    </row>
    <row r="15" spans="1:22" ht="14.4" x14ac:dyDescent="0.3">
      <c r="A15" s="14">
        <f t="shared" si="15"/>
        <v>175000</v>
      </c>
      <c r="B15" s="14">
        <f t="shared" si="0"/>
        <v>93.085106382978722</v>
      </c>
      <c r="C15" s="15">
        <f t="shared" si="1"/>
        <v>0.44999999999999996</v>
      </c>
      <c r="D15" s="14">
        <f t="shared" si="2"/>
        <v>41.888297872340416</v>
      </c>
      <c r="E15" s="14">
        <f t="shared" si="3"/>
        <v>134.97340425531914</v>
      </c>
      <c r="F15" s="14">
        <f t="shared" si="4"/>
        <v>168.71675531914892</v>
      </c>
      <c r="I15" s="16">
        <f t="shared" si="13"/>
        <v>329000</v>
      </c>
      <c r="J15" s="14">
        <f t="shared" si="16"/>
        <v>175</v>
      </c>
      <c r="K15" s="15">
        <f t="shared" si="5"/>
        <v>0.1</v>
      </c>
      <c r="L15" s="14">
        <f t="shared" si="6"/>
        <v>17.5</v>
      </c>
      <c r="M15" s="14">
        <f t="shared" si="7"/>
        <v>192.5</v>
      </c>
      <c r="N15" s="14">
        <f t="shared" si="8"/>
        <v>240.625</v>
      </c>
      <c r="Q15" s="16">
        <f t="shared" si="14"/>
        <v>329000</v>
      </c>
      <c r="R15" s="14">
        <f t="shared" si="17"/>
        <v>175</v>
      </c>
      <c r="S15" s="15">
        <f t="shared" si="9"/>
        <v>0.30000000000000004</v>
      </c>
      <c r="T15" s="14">
        <f t="shared" si="10"/>
        <v>52.500000000000007</v>
      </c>
      <c r="U15" s="14">
        <f t="shared" si="11"/>
        <v>227.5</v>
      </c>
      <c r="V15" s="14">
        <f t="shared" si="12"/>
        <v>273</v>
      </c>
    </row>
    <row r="16" spans="1:22" ht="14.4" x14ac:dyDescent="0.3">
      <c r="A16" s="14">
        <f t="shared" si="15"/>
        <v>170000</v>
      </c>
      <c r="B16" s="14">
        <f t="shared" si="0"/>
        <v>90.425531914893611</v>
      </c>
      <c r="C16" s="15">
        <f t="shared" si="1"/>
        <v>0.44999999999999996</v>
      </c>
      <c r="D16" s="14">
        <f t="shared" si="2"/>
        <v>40.691489361702118</v>
      </c>
      <c r="E16" s="14">
        <f t="shared" si="3"/>
        <v>131.11702127659572</v>
      </c>
      <c r="F16" s="14">
        <f t="shared" si="4"/>
        <v>163.89627659574467</v>
      </c>
      <c r="I16" s="16">
        <f t="shared" si="13"/>
        <v>319600</v>
      </c>
      <c r="J16" s="14">
        <f t="shared" si="16"/>
        <v>170</v>
      </c>
      <c r="K16" s="15">
        <f t="shared" si="5"/>
        <v>0.1</v>
      </c>
      <c r="L16" s="14">
        <f t="shared" si="6"/>
        <v>17</v>
      </c>
      <c r="M16" s="14">
        <f t="shared" si="7"/>
        <v>187</v>
      </c>
      <c r="N16" s="14">
        <f t="shared" si="8"/>
        <v>233.75</v>
      </c>
      <c r="Q16" s="16">
        <f t="shared" si="14"/>
        <v>319600</v>
      </c>
      <c r="R16" s="14">
        <f t="shared" si="17"/>
        <v>170</v>
      </c>
      <c r="S16" s="15">
        <f t="shared" si="9"/>
        <v>0.30000000000000004</v>
      </c>
      <c r="T16" s="14">
        <f t="shared" si="10"/>
        <v>51.000000000000007</v>
      </c>
      <c r="U16" s="14">
        <f t="shared" si="11"/>
        <v>221</v>
      </c>
      <c r="V16" s="14">
        <f t="shared" si="12"/>
        <v>265.2</v>
      </c>
    </row>
    <row r="17" spans="1:22" ht="14.4" x14ac:dyDescent="0.3">
      <c r="A17" s="14">
        <f t="shared" si="15"/>
        <v>165000</v>
      </c>
      <c r="B17" s="14">
        <f t="shared" si="0"/>
        <v>87.765957446808514</v>
      </c>
      <c r="C17" s="15">
        <f t="shared" si="1"/>
        <v>0.44999999999999996</v>
      </c>
      <c r="D17" s="14">
        <f t="shared" si="2"/>
        <v>39.494680851063819</v>
      </c>
      <c r="E17" s="14">
        <f t="shared" si="3"/>
        <v>127.26063829787233</v>
      </c>
      <c r="F17" s="14">
        <f t="shared" si="4"/>
        <v>159.07579787234042</v>
      </c>
      <c r="I17" s="16">
        <f t="shared" si="13"/>
        <v>310200</v>
      </c>
      <c r="J17" s="14">
        <f t="shared" si="16"/>
        <v>165</v>
      </c>
      <c r="K17" s="15">
        <f t="shared" si="5"/>
        <v>0.1</v>
      </c>
      <c r="L17" s="14">
        <f t="shared" si="6"/>
        <v>16.5</v>
      </c>
      <c r="M17" s="14">
        <f t="shared" si="7"/>
        <v>181.5</v>
      </c>
      <c r="N17" s="14">
        <f t="shared" si="8"/>
        <v>226.875</v>
      </c>
      <c r="Q17" s="16">
        <f t="shared" si="14"/>
        <v>310200</v>
      </c>
      <c r="R17" s="14">
        <f t="shared" si="17"/>
        <v>165</v>
      </c>
      <c r="S17" s="15">
        <f t="shared" si="9"/>
        <v>0.30000000000000004</v>
      </c>
      <c r="T17" s="14">
        <f t="shared" si="10"/>
        <v>49.500000000000007</v>
      </c>
      <c r="U17" s="14">
        <f t="shared" si="11"/>
        <v>214.5</v>
      </c>
      <c r="V17" s="14">
        <f t="shared" si="12"/>
        <v>257.39999999999998</v>
      </c>
    </row>
    <row r="18" spans="1:22" ht="14.4" x14ac:dyDescent="0.3">
      <c r="A18" s="14">
        <f t="shared" si="15"/>
        <v>160000</v>
      </c>
      <c r="B18" s="14">
        <f t="shared" si="0"/>
        <v>85.106382978723403</v>
      </c>
      <c r="C18" s="15">
        <f t="shared" si="1"/>
        <v>0.44999999999999996</v>
      </c>
      <c r="D18" s="14">
        <f t="shared" si="2"/>
        <v>38.297872340425535</v>
      </c>
      <c r="E18" s="14">
        <f t="shared" si="3"/>
        <v>123.40425531914894</v>
      </c>
      <c r="F18" s="14">
        <f t="shared" si="4"/>
        <v>154.25531914893617</v>
      </c>
      <c r="I18" s="16">
        <f t="shared" si="13"/>
        <v>300800</v>
      </c>
      <c r="J18" s="14">
        <f t="shared" si="16"/>
        <v>160</v>
      </c>
      <c r="K18" s="15">
        <f t="shared" si="5"/>
        <v>0.1</v>
      </c>
      <c r="L18" s="14">
        <f t="shared" si="6"/>
        <v>16</v>
      </c>
      <c r="M18" s="14">
        <f t="shared" si="7"/>
        <v>176</v>
      </c>
      <c r="N18" s="14">
        <f t="shared" si="8"/>
        <v>220</v>
      </c>
      <c r="Q18" s="16">
        <f t="shared" si="14"/>
        <v>300800</v>
      </c>
      <c r="R18" s="14">
        <f t="shared" si="17"/>
        <v>160</v>
      </c>
      <c r="S18" s="15">
        <f t="shared" si="9"/>
        <v>0.30000000000000004</v>
      </c>
      <c r="T18" s="14">
        <f t="shared" si="10"/>
        <v>48.000000000000007</v>
      </c>
      <c r="U18" s="14">
        <f t="shared" si="11"/>
        <v>208</v>
      </c>
      <c r="V18" s="14">
        <f t="shared" si="12"/>
        <v>249.6</v>
      </c>
    </row>
    <row r="19" spans="1:22" ht="14.4" x14ac:dyDescent="0.3">
      <c r="A19" s="14">
        <f t="shared" si="15"/>
        <v>155000</v>
      </c>
      <c r="B19" s="14">
        <f t="shared" si="0"/>
        <v>82.446808510638292</v>
      </c>
      <c r="C19" s="15">
        <f t="shared" si="1"/>
        <v>0.44999999999999996</v>
      </c>
      <c r="D19" s="14">
        <f t="shared" si="2"/>
        <v>37.101063829787236</v>
      </c>
      <c r="E19" s="14">
        <f t="shared" si="3"/>
        <v>119.54787234042553</v>
      </c>
      <c r="F19" s="14">
        <f t="shared" si="4"/>
        <v>149.43484042553192</v>
      </c>
      <c r="I19" s="16">
        <f t="shared" si="13"/>
        <v>291400</v>
      </c>
      <c r="J19" s="14">
        <f t="shared" si="16"/>
        <v>155</v>
      </c>
      <c r="K19" s="15">
        <f t="shared" si="5"/>
        <v>0.1</v>
      </c>
      <c r="L19" s="14">
        <f t="shared" si="6"/>
        <v>15.5</v>
      </c>
      <c r="M19" s="14">
        <f t="shared" si="7"/>
        <v>170.5</v>
      </c>
      <c r="N19" s="14">
        <f t="shared" si="8"/>
        <v>213.125</v>
      </c>
      <c r="Q19" s="16">
        <f t="shared" si="14"/>
        <v>291400</v>
      </c>
      <c r="R19" s="14">
        <f t="shared" si="17"/>
        <v>155</v>
      </c>
      <c r="S19" s="15">
        <f t="shared" si="9"/>
        <v>0.30000000000000004</v>
      </c>
      <c r="T19" s="14">
        <f t="shared" si="10"/>
        <v>46.500000000000007</v>
      </c>
      <c r="U19" s="14">
        <f t="shared" si="11"/>
        <v>201.5</v>
      </c>
      <c r="V19" s="14">
        <f t="shared" si="12"/>
        <v>241.79999999999998</v>
      </c>
    </row>
    <row r="20" spans="1:22" ht="14.4" x14ac:dyDescent="0.3">
      <c r="A20" s="14">
        <f t="shared" si="15"/>
        <v>150000</v>
      </c>
      <c r="B20" s="14">
        <f t="shared" si="0"/>
        <v>79.787234042553195</v>
      </c>
      <c r="C20" s="15">
        <f t="shared" si="1"/>
        <v>0.44999999999999996</v>
      </c>
      <c r="D20" s="14">
        <f t="shared" si="2"/>
        <v>35.904255319148938</v>
      </c>
      <c r="E20" s="14">
        <f t="shared" si="3"/>
        <v>115.69148936170214</v>
      </c>
      <c r="F20" s="14">
        <f t="shared" si="4"/>
        <v>144.61436170212767</v>
      </c>
      <c r="I20" s="16">
        <f t="shared" si="13"/>
        <v>282000</v>
      </c>
      <c r="J20" s="14">
        <f t="shared" si="16"/>
        <v>150</v>
      </c>
      <c r="K20" s="15">
        <f t="shared" si="5"/>
        <v>0.1</v>
      </c>
      <c r="L20" s="14">
        <f t="shared" si="6"/>
        <v>15</v>
      </c>
      <c r="M20" s="14">
        <f t="shared" si="7"/>
        <v>165</v>
      </c>
      <c r="N20" s="14">
        <f t="shared" si="8"/>
        <v>206.25</v>
      </c>
      <c r="Q20" s="16">
        <f t="shared" si="14"/>
        <v>282000</v>
      </c>
      <c r="R20" s="14">
        <f t="shared" si="17"/>
        <v>150</v>
      </c>
      <c r="S20" s="15">
        <f t="shared" si="9"/>
        <v>0.30000000000000004</v>
      </c>
      <c r="T20" s="14">
        <f t="shared" si="10"/>
        <v>45.000000000000007</v>
      </c>
      <c r="U20" s="14">
        <f t="shared" si="11"/>
        <v>195</v>
      </c>
      <c r="V20" s="14">
        <f t="shared" si="12"/>
        <v>234</v>
      </c>
    </row>
    <row r="21" spans="1:22" ht="15.75" customHeight="1" x14ac:dyDescent="0.3">
      <c r="A21" s="14">
        <f t="shared" si="15"/>
        <v>145000</v>
      </c>
      <c r="B21" s="14">
        <f t="shared" si="0"/>
        <v>77.127659574468083</v>
      </c>
      <c r="C21" s="15">
        <f t="shared" si="1"/>
        <v>0.44999999999999996</v>
      </c>
      <c r="D21" s="14">
        <f t="shared" si="2"/>
        <v>34.707446808510632</v>
      </c>
      <c r="E21" s="14">
        <f t="shared" si="3"/>
        <v>111.83510638297872</v>
      </c>
      <c r="F21" s="14">
        <f t="shared" si="4"/>
        <v>139.79388297872339</v>
      </c>
      <c r="I21" s="16">
        <f t="shared" si="13"/>
        <v>272600</v>
      </c>
      <c r="J21" s="14">
        <f t="shared" si="16"/>
        <v>145</v>
      </c>
      <c r="K21" s="15">
        <f t="shared" si="5"/>
        <v>0.1</v>
      </c>
      <c r="L21" s="14">
        <f t="shared" si="6"/>
        <v>14.5</v>
      </c>
      <c r="M21" s="14">
        <f t="shared" si="7"/>
        <v>159.5</v>
      </c>
      <c r="N21" s="14">
        <f t="shared" si="8"/>
        <v>199.375</v>
      </c>
      <c r="Q21" s="16">
        <f t="shared" si="14"/>
        <v>272600</v>
      </c>
      <c r="R21" s="14">
        <f t="shared" si="17"/>
        <v>145</v>
      </c>
      <c r="S21" s="15">
        <f t="shared" si="9"/>
        <v>0.30000000000000004</v>
      </c>
      <c r="T21" s="14">
        <f t="shared" si="10"/>
        <v>43.500000000000007</v>
      </c>
      <c r="U21" s="14">
        <f t="shared" si="11"/>
        <v>188.5</v>
      </c>
      <c r="V21" s="14">
        <f t="shared" si="12"/>
        <v>226.2</v>
      </c>
    </row>
    <row r="22" spans="1:22" ht="15.75" customHeight="1" x14ac:dyDescent="0.3">
      <c r="A22" s="14">
        <f t="shared" si="15"/>
        <v>140000</v>
      </c>
      <c r="B22" s="14">
        <f t="shared" si="0"/>
        <v>74.468085106382972</v>
      </c>
      <c r="C22" s="15">
        <f t="shared" si="1"/>
        <v>0.44999999999999996</v>
      </c>
      <c r="D22" s="14">
        <f t="shared" si="2"/>
        <v>33.510638297872333</v>
      </c>
      <c r="E22" s="14">
        <f t="shared" si="3"/>
        <v>107.97872340425531</v>
      </c>
      <c r="F22" s="14">
        <f t="shared" si="4"/>
        <v>134.97340425531914</v>
      </c>
      <c r="I22" s="16">
        <f t="shared" si="13"/>
        <v>263200</v>
      </c>
      <c r="J22" s="14">
        <f t="shared" si="16"/>
        <v>140</v>
      </c>
      <c r="K22" s="15">
        <f t="shared" si="5"/>
        <v>0.1</v>
      </c>
      <c r="L22" s="14">
        <f t="shared" si="6"/>
        <v>14</v>
      </c>
      <c r="M22" s="14">
        <f t="shared" si="7"/>
        <v>154</v>
      </c>
      <c r="N22" s="14">
        <f t="shared" si="8"/>
        <v>192.5</v>
      </c>
      <c r="Q22" s="16">
        <f t="shared" si="14"/>
        <v>263200</v>
      </c>
      <c r="R22" s="14">
        <f t="shared" si="17"/>
        <v>140</v>
      </c>
      <c r="S22" s="15">
        <f t="shared" si="9"/>
        <v>0.30000000000000004</v>
      </c>
      <c r="T22" s="14">
        <f t="shared" si="10"/>
        <v>42.000000000000007</v>
      </c>
      <c r="U22" s="14">
        <f t="shared" si="11"/>
        <v>182</v>
      </c>
      <c r="V22" s="14">
        <f t="shared" si="12"/>
        <v>218.4</v>
      </c>
    </row>
    <row r="23" spans="1:22" ht="15.75" customHeight="1" x14ac:dyDescent="0.3">
      <c r="A23" s="14">
        <f t="shared" si="15"/>
        <v>135000</v>
      </c>
      <c r="B23" s="14">
        <f t="shared" si="0"/>
        <v>71.808510638297875</v>
      </c>
      <c r="C23" s="15">
        <f t="shared" si="1"/>
        <v>0.44999999999999996</v>
      </c>
      <c r="D23" s="14">
        <f t="shared" si="2"/>
        <v>32.313829787234042</v>
      </c>
      <c r="E23" s="14">
        <f t="shared" si="3"/>
        <v>104.12234042553192</v>
      </c>
      <c r="F23" s="14">
        <f t="shared" si="4"/>
        <v>130.15292553191489</v>
      </c>
      <c r="I23" s="16">
        <f t="shared" si="13"/>
        <v>253800</v>
      </c>
      <c r="J23" s="14">
        <f t="shared" si="16"/>
        <v>135</v>
      </c>
      <c r="K23" s="15">
        <f t="shared" si="5"/>
        <v>0.1</v>
      </c>
      <c r="L23" s="14">
        <f t="shared" si="6"/>
        <v>13.5</v>
      </c>
      <c r="M23" s="14">
        <f t="shared" si="7"/>
        <v>148.5</v>
      </c>
      <c r="N23" s="14">
        <f t="shared" si="8"/>
        <v>185.625</v>
      </c>
      <c r="Q23" s="16">
        <f t="shared" si="14"/>
        <v>253800</v>
      </c>
      <c r="R23" s="14">
        <f t="shared" si="17"/>
        <v>135</v>
      </c>
      <c r="S23" s="15">
        <f t="shared" si="9"/>
        <v>0.30000000000000004</v>
      </c>
      <c r="T23" s="14">
        <f t="shared" si="10"/>
        <v>40.500000000000007</v>
      </c>
      <c r="U23" s="14">
        <f t="shared" si="11"/>
        <v>175.5</v>
      </c>
      <c r="V23" s="14">
        <f t="shared" si="12"/>
        <v>210.6</v>
      </c>
    </row>
    <row r="24" spans="1:22" ht="15.75" customHeight="1" x14ac:dyDescent="0.3">
      <c r="A24" s="14">
        <f t="shared" si="15"/>
        <v>130000</v>
      </c>
      <c r="B24" s="14">
        <f t="shared" si="0"/>
        <v>69.148936170212764</v>
      </c>
      <c r="C24" s="15">
        <f t="shared" si="1"/>
        <v>0.44999999999999996</v>
      </c>
      <c r="D24" s="14">
        <f t="shared" si="2"/>
        <v>31.117021276595739</v>
      </c>
      <c r="E24" s="14">
        <f t="shared" si="3"/>
        <v>100.2659574468085</v>
      </c>
      <c r="F24" s="14">
        <f t="shared" si="4"/>
        <v>125.33244680851062</v>
      </c>
      <c r="I24" s="16">
        <f t="shared" si="13"/>
        <v>244400</v>
      </c>
      <c r="J24" s="14">
        <f t="shared" si="16"/>
        <v>130</v>
      </c>
      <c r="K24" s="15">
        <f t="shared" si="5"/>
        <v>0.1</v>
      </c>
      <c r="L24" s="14">
        <f t="shared" si="6"/>
        <v>13</v>
      </c>
      <c r="M24" s="14">
        <f t="shared" si="7"/>
        <v>143</v>
      </c>
      <c r="N24" s="14">
        <f t="shared" si="8"/>
        <v>178.75</v>
      </c>
      <c r="Q24" s="16">
        <f t="shared" si="14"/>
        <v>244400</v>
      </c>
      <c r="R24" s="14">
        <f t="shared" si="17"/>
        <v>130</v>
      </c>
      <c r="S24" s="15">
        <f t="shared" si="9"/>
        <v>0.30000000000000004</v>
      </c>
      <c r="T24" s="14">
        <f t="shared" si="10"/>
        <v>39.000000000000007</v>
      </c>
      <c r="U24" s="14">
        <f t="shared" si="11"/>
        <v>169</v>
      </c>
      <c r="V24" s="14">
        <f t="shared" si="12"/>
        <v>202.79999999999998</v>
      </c>
    </row>
    <row r="25" spans="1:22" ht="15.75" customHeight="1" x14ac:dyDescent="0.3">
      <c r="A25" s="14">
        <f t="shared" si="15"/>
        <v>125000</v>
      </c>
      <c r="B25" s="14">
        <f t="shared" si="0"/>
        <v>66.489361702127653</v>
      </c>
      <c r="C25" s="15">
        <f t="shared" si="1"/>
        <v>0.44999999999999996</v>
      </c>
      <c r="D25" s="14">
        <f t="shared" si="2"/>
        <v>29.920212765957444</v>
      </c>
      <c r="E25" s="14">
        <f t="shared" si="3"/>
        <v>96.409574468085097</v>
      </c>
      <c r="F25" s="14">
        <f t="shared" si="4"/>
        <v>120.51196808510637</v>
      </c>
      <c r="I25" s="16">
        <f t="shared" si="13"/>
        <v>235000</v>
      </c>
      <c r="J25" s="14">
        <f t="shared" si="16"/>
        <v>125</v>
      </c>
      <c r="K25" s="15">
        <f t="shared" si="5"/>
        <v>0.1</v>
      </c>
      <c r="L25" s="14">
        <f t="shared" si="6"/>
        <v>12.5</v>
      </c>
      <c r="M25" s="14">
        <f t="shared" si="7"/>
        <v>137.5</v>
      </c>
      <c r="N25" s="14">
        <f t="shared" si="8"/>
        <v>171.875</v>
      </c>
      <c r="Q25" s="16">
        <f t="shared" si="14"/>
        <v>235000</v>
      </c>
      <c r="R25" s="14">
        <f t="shared" si="17"/>
        <v>125</v>
      </c>
      <c r="S25" s="15">
        <f t="shared" si="9"/>
        <v>0.30000000000000004</v>
      </c>
      <c r="T25" s="14">
        <f t="shared" si="10"/>
        <v>37.500000000000007</v>
      </c>
      <c r="U25" s="14">
        <f t="shared" si="11"/>
        <v>162.5</v>
      </c>
      <c r="V25" s="14">
        <f t="shared" si="12"/>
        <v>195</v>
      </c>
    </row>
    <row r="26" spans="1:22" ht="15.75" customHeight="1" x14ac:dyDescent="0.3">
      <c r="A26" s="14">
        <f t="shared" si="15"/>
        <v>120000</v>
      </c>
      <c r="B26" s="14">
        <f t="shared" si="0"/>
        <v>63.829787234042556</v>
      </c>
      <c r="C26" s="15">
        <f t="shared" si="1"/>
        <v>0.44999999999999996</v>
      </c>
      <c r="D26" s="14">
        <f t="shared" si="2"/>
        <v>28.723404255319146</v>
      </c>
      <c r="E26" s="14">
        <f t="shared" si="3"/>
        <v>92.553191489361694</v>
      </c>
      <c r="F26" s="14">
        <f t="shared" si="4"/>
        <v>115.69148936170211</v>
      </c>
      <c r="I26" s="16">
        <f t="shared" si="13"/>
        <v>225600</v>
      </c>
      <c r="J26" s="14">
        <f t="shared" si="16"/>
        <v>120</v>
      </c>
      <c r="K26" s="15">
        <f t="shared" si="5"/>
        <v>0.1</v>
      </c>
      <c r="L26" s="14">
        <f t="shared" si="6"/>
        <v>12</v>
      </c>
      <c r="M26" s="14">
        <f t="shared" si="7"/>
        <v>132</v>
      </c>
      <c r="N26" s="14">
        <f t="shared" si="8"/>
        <v>165</v>
      </c>
      <c r="Q26" s="16">
        <f t="shared" si="14"/>
        <v>225600</v>
      </c>
      <c r="R26" s="14">
        <f t="shared" si="17"/>
        <v>120</v>
      </c>
      <c r="S26" s="15">
        <f t="shared" si="9"/>
        <v>0.30000000000000004</v>
      </c>
      <c r="T26" s="14">
        <f t="shared" si="10"/>
        <v>36.000000000000007</v>
      </c>
      <c r="U26" s="14">
        <f t="shared" si="11"/>
        <v>156</v>
      </c>
      <c r="V26" s="14">
        <f t="shared" si="12"/>
        <v>187.2</v>
      </c>
    </row>
    <row r="27" spans="1:22" ht="15.75" customHeight="1" x14ac:dyDescent="0.3">
      <c r="A27" s="14">
        <f t="shared" si="15"/>
        <v>115000</v>
      </c>
      <c r="B27" s="14">
        <f t="shared" si="0"/>
        <v>61.170212765957444</v>
      </c>
      <c r="C27" s="15">
        <f t="shared" si="1"/>
        <v>0.44999999999999996</v>
      </c>
      <c r="D27" s="14">
        <f t="shared" si="2"/>
        <v>27.526595744680847</v>
      </c>
      <c r="E27" s="14">
        <f t="shared" si="3"/>
        <v>88.696808510638292</v>
      </c>
      <c r="F27" s="14">
        <f t="shared" si="4"/>
        <v>110.87101063829786</v>
      </c>
      <c r="I27" s="16">
        <f t="shared" si="13"/>
        <v>216200</v>
      </c>
      <c r="J27" s="14">
        <f t="shared" si="16"/>
        <v>115</v>
      </c>
      <c r="K27" s="15">
        <f t="shared" si="5"/>
        <v>0.1</v>
      </c>
      <c r="L27" s="14">
        <f t="shared" si="6"/>
        <v>11.5</v>
      </c>
      <c r="M27" s="14">
        <f t="shared" si="7"/>
        <v>126.5</v>
      </c>
      <c r="N27" s="14">
        <f t="shared" si="8"/>
        <v>158.125</v>
      </c>
      <c r="Q27" s="16">
        <f t="shared" si="14"/>
        <v>216200</v>
      </c>
      <c r="R27" s="14">
        <f t="shared" si="17"/>
        <v>115</v>
      </c>
      <c r="S27" s="15">
        <f t="shared" si="9"/>
        <v>0.30000000000000004</v>
      </c>
      <c r="T27" s="14">
        <f t="shared" si="10"/>
        <v>34.500000000000007</v>
      </c>
      <c r="U27" s="14">
        <f t="shared" si="11"/>
        <v>149.5</v>
      </c>
      <c r="V27" s="14">
        <f t="shared" si="12"/>
        <v>179.4</v>
      </c>
    </row>
    <row r="28" spans="1:22" ht="15.75" customHeight="1" x14ac:dyDescent="0.3">
      <c r="A28" s="14">
        <f t="shared" si="15"/>
        <v>110000</v>
      </c>
      <c r="B28" s="14">
        <f t="shared" si="0"/>
        <v>58.51063829787234</v>
      </c>
      <c r="C28" s="15">
        <f t="shared" si="1"/>
        <v>0.44999999999999996</v>
      </c>
      <c r="D28" s="14">
        <f t="shared" si="2"/>
        <v>26.329787234042549</v>
      </c>
      <c r="E28" s="14">
        <f t="shared" si="3"/>
        <v>84.840425531914889</v>
      </c>
      <c r="F28" s="14">
        <f t="shared" si="4"/>
        <v>106.05053191489361</v>
      </c>
      <c r="I28" s="16">
        <f t="shared" si="13"/>
        <v>206800</v>
      </c>
      <c r="J28" s="14">
        <f t="shared" si="16"/>
        <v>110</v>
      </c>
      <c r="K28" s="15">
        <f t="shared" si="5"/>
        <v>0.1</v>
      </c>
      <c r="L28" s="14">
        <f t="shared" si="6"/>
        <v>11</v>
      </c>
      <c r="M28" s="14">
        <f t="shared" si="7"/>
        <v>121</v>
      </c>
      <c r="N28" s="14">
        <f t="shared" si="8"/>
        <v>151.25</v>
      </c>
      <c r="Q28" s="16">
        <f t="shared" si="14"/>
        <v>206800</v>
      </c>
      <c r="R28" s="14">
        <f t="shared" si="17"/>
        <v>110</v>
      </c>
      <c r="S28" s="15">
        <f t="shared" si="9"/>
        <v>0.30000000000000004</v>
      </c>
      <c r="T28" s="14">
        <f t="shared" si="10"/>
        <v>33.000000000000007</v>
      </c>
      <c r="U28" s="14">
        <f t="shared" si="11"/>
        <v>143</v>
      </c>
      <c r="V28" s="14">
        <f t="shared" si="12"/>
        <v>171.6</v>
      </c>
    </row>
    <row r="29" spans="1:22" ht="15.75" customHeight="1" x14ac:dyDescent="0.3">
      <c r="A29" s="14">
        <f t="shared" si="15"/>
        <v>105000</v>
      </c>
      <c r="B29" s="14">
        <f t="shared" si="0"/>
        <v>55.851063829787236</v>
      </c>
      <c r="C29" s="15">
        <f t="shared" si="1"/>
        <v>0.44999999999999996</v>
      </c>
      <c r="D29" s="14">
        <f t="shared" si="2"/>
        <v>25.13297872340425</v>
      </c>
      <c r="E29" s="14">
        <f t="shared" si="3"/>
        <v>80.984042553191486</v>
      </c>
      <c r="F29" s="14">
        <f t="shared" si="4"/>
        <v>101.23005319148936</v>
      </c>
      <c r="I29" s="16">
        <f t="shared" si="13"/>
        <v>197400</v>
      </c>
      <c r="J29" s="14">
        <f t="shared" si="16"/>
        <v>105</v>
      </c>
      <c r="K29" s="15">
        <f t="shared" si="5"/>
        <v>0.1</v>
      </c>
      <c r="L29" s="14">
        <f t="shared" si="6"/>
        <v>10.5</v>
      </c>
      <c r="M29" s="14">
        <f t="shared" si="7"/>
        <v>115.5</v>
      </c>
      <c r="N29" s="14">
        <f t="shared" si="8"/>
        <v>144.375</v>
      </c>
      <c r="Q29" s="16">
        <f t="shared" si="14"/>
        <v>197400</v>
      </c>
      <c r="R29" s="14">
        <f t="shared" si="17"/>
        <v>105</v>
      </c>
      <c r="S29" s="15">
        <f t="shared" si="9"/>
        <v>0.30000000000000004</v>
      </c>
      <c r="T29" s="14">
        <f t="shared" si="10"/>
        <v>31.500000000000004</v>
      </c>
      <c r="U29" s="14">
        <f t="shared" si="11"/>
        <v>136.5</v>
      </c>
      <c r="V29" s="14">
        <f t="shared" si="12"/>
        <v>163.79999999999998</v>
      </c>
    </row>
    <row r="30" spans="1:22" ht="15.75" customHeight="1" x14ac:dyDescent="0.3">
      <c r="A30" s="14">
        <f t="shared" si="15"/>
        <v>100000</v>
      </c>
      <c r="B30" s="14">
        <f t="shared" si="0"/>
        <v>53.191489361702125</v>
      </c>
      <c r="C30" s="15">
        <f t="shared" si="1"/>
        <v>0.44999999999999996</v>
      </c>
      <c r="D30" s="14">
        <f t="shared" si="2"/>
        <v>23.936170212765955</v>
      </c>
      <c r="E30" s="14">
        <f t="shared" si="3"/>
        <v>77.127659574468083</v>
      </c>
      <c r="F30" s="14">
        <f t="shared" si="4"/>
        <v>96.409574468085111</v>
      </c>
      <c r="I30" s="16">
        <f t="shared" si="13"/>
        <v>188000</v>
      </c>
      <c r="J30" s="14">
        <f t="shared" si="16"/>
        <v>100</v>
      </c>
      <c r="K30" s="15">
        <f t="shared" si="5"/>
        <v>0.1</v>
      </c>
      <c r="L30" s="14">
        <f t="shared" si="6"/>
        <v>10</v>
      </c>
      <c r="M30" s="14">
        <f t="shared" si="7"/>
        <v>110</v>
      </c>
      <c r="N30" s="14">
        <f t="shared" si="8"/>
        <v>137.5</v>
      </c>
      <c r="Q30" s="16">
        <f t="shared" si="14"/>
        <v>188000</v>
      </c>
      <c r="R30" s="14">
        <f t="shared" si="17"/>
        <v>100</v>
      </c>
      <c r="S30" s="15">
        <f t="shared" si="9"/>
        <v>0.30000000000000004</v>
      </c>
      <c r="T30" s="14">
        <f t="shared" si="10"/>
        <v>30.000000000000004</v>
      </c>
      <c r="U30" s="14">
        <f t="shared" si="11"/>
        <v>130</v>
      </c>
      <c r="V30" s="14">
        <f t="shared" si="12"/>
        <v>156</v>
      </c>
    </row>
    <row r="31" spans="1:22" ht="15.75" customHeight="1" x14ac:dyDescent="0.3">
      <c r="A31" s="14">
        <f t="shared" si="15"/>
        <v>95000</v>
      </c>
      <c r="B31" s="14">
        <f t="shared" si="0"/>
        <v>50.531914893617021</v>
      </c>
      <c r="C31" s="15">
        <f t="shared" si="1"/>
        <v>0.44999999999999996</v>
      </c>
      <c r="D31" s="14">
        <f t="shared" si="2"/>
        <v>22.739361702127656</v>
      </c>
      <c r="E31" s="14">
        <f t="shared" si="3"/>
        <v>73.271276595744681</v>
      </c>
      <c r="F31" s="14">
        <f t="shared" si="4"/>
        <v>91.589095744680847</v>
      </c>
      <c r="I31" s="16">
        <f t="shared" si="13"/>
        <v>178600</v>
      </c>
      <c r="J31" s="14">
        <f t="shared" si="16"/>
        <v>95</v>
      </c>
      <c r="K31" s="15">
        <f t="shared" si="5"/>
        <v>0.1</v>
      </c>
      <c r="L31" s="14">
        <f t="shared" si="6"/>
        <v>9.5</v>
      </c>
      <c r="M31" s="14">
        <f t="shared" si="7"/>
        <v>104.5</v>
      </c>
      <c r="N31" s="14">
        <f t="shared" si="8"/>
        <v>130.625</v>
      </c>
      <c r="Q31" s="16">
        <f t="shared" si="14"/>
        <v>178600</v>
      </c>
      <c r="R31" s="14">
        <f t="shared" si="17"/>
        <v>95</v>
      </c>
      <c r="S31" s="15">
        <f t="shared" si="9"/>
        <v>0.30000000000000004</v>
      </c>
      <c r="T31" s="14">
        <f t="shared" si="10"/>
        <v>28.500000000000004</v>
      </c>
      <c r="U31" s="14">
        <f t="shared" si="11"/>
        <v>123.5</v>
      </c>
      <c r="V31" s="14">
        <f t="shared" si="12"/>
        <v>148.19999999999999</v>
      </c>
    </row>
    <row r="32" spans="1:22" ht="15.75" customHeight="1" x14ac:dyDescent="0.3">
      <c r="A32" s="14">
        <f t="shared" si="15"/>
        <v>90000</v>
      </c>
      <c r="B32" s="14">
        <f t="shared" si="0"/>
        <v>47.872340425531917</v>
      </c>
      <c r="C32" s="15">
        <f t="shared" si="1"/>
        <v>0.44999999999999996</v>
      </c>
      <c r="D32" s="14">
        <f t="shared" si="2"/>
        <v>21.542553191489358</v>
      </c>
      <c r="E32" s="14">
        <f t="shared" si="3"/>
        <v>69.414893617021278</v>
      </c>
      <c r="F32" s="14">
        <f t="shared" si="4"/>
        <v>86.768617021276597</v>
      </c>
      <c r="I32" s="16">
        <f t="shared" si="13"/>
        <v>169200</v>
      </c>
      <c r="J32" s="14">
        <f t="shared" si="16"/>
        <v>90</v>
      </c>
      <c r="K32" s="15">
        <f t="shared" si="5"/>
        <v>0.1</v>
      </c>
      <c r="L32" s="14">
        <f t="shared" si="6"/>
        <v>9</v>
      </c>
      <c r="M32" s="14">
        <f t="shared" si="7"/>
        <v>99</v>
      </c>
      <c r="N32" s="14">
        <f t="shared" si="8"/>
        <v>123.75</v>
      </c>
      <c r="Q32" s="16">
        <f t="shared" si="14"/>
        <v>169200</v>
      </c>
      <c r="R32" s="14">
        <f t="shared" si="17"/>
        <v>90</v>
      </c>
      <c r="S32" s="15">
        <f t="shared" si="9"/>
        <v>0.30000000000000004</v>
      </c>
      <c r="T32" s="14">
        <f t="shared" si="10"/>
        <v>27.000000000000004</v>
      </c>
      <c r="U32" s="14">
        <f t="shared" si="11"/>
        <v>117</v>
      </c>
      <c r="V32" s="14">
        <f t="shared" si="12"/>
        <v>140.4</v>
      </c>
    </row>
    <row r="33" spans="1:22" ht="15.75" customHeight="1" x14ac:dyDescent="0.3">
      <c r="A33" s="14">
        <f t="shared" si="15"/>
        <v>85000</v>
      </c>
      <c r="B33" s="14">
        <f t="shared" si="0"/>
        <v>45.212765957446805</v>
      </c>
      <c r="C33" s="15">
        <f t="shared" si="1"/>
        <v>0.44999999999999996</v>
      </c>
      <c r="D33" s="14">
        <f t="shared" si="2"/>
        <v>20.345744680851059</v>
      </c>
      <c r="E33" s="14">
        <f t="shared" si="3"/>
        <v>65.558510638297861</v>
      </c>
      <c r="F33" s="14">
        <f t="shared" si="4"/>
        <v>81.948138297872333</v>
      </c>
      <c r="I33" s="16">
        <f t="shared" si="13"/>
        <v>159800</v>
      </c>
      <c r="J33" s="14">
        <f t="shared" si="16"/>
        <v>85</v>
      </c>
      <c r="K33" s="15">
        <f t="shared" si="5"/>
        <v>0.1</v>
      </c>
      <c r="L33" s="14">
        <f t="shared" si="6"/>
        <v>8.5</v>
      </c>
      <c r="M33" s="14">
        <f t="shared" si="7"/>
        <v>93.5</v>
      </c>
      <c r="N33" s="14">
        <f t="shared" si="8"/>
        <v>116.875</v>
      </c>
      <c r="Q33" s="16">
        <f t="shared" si="14"/>
        <v>159800</v>
      </c>
      <c r="R33" s="14">
        <f t="shared" si="17"/>
        <v>85</v>
      </c>
      <c r="S33" s="15">
        <f t="shared" si="9"/>
        <v>0.30000000000000004</v>
      </c>
      <c r="T33" s="14">
        <f t="shared" si="10"/>
        <v>25.500000000000004</v>
      </c>
      <c r="U33" s="14">
        <f t="shared" si="11"/>
        <v>110.5</v>
      </c>
      <c r="V33" s="14">
        <f t="shared" si="12"/>
        <v>132.6</v>
      </c>
    </row>
    <row r="34" spans="1:22" ht="15.75" customHeight="1" x14ac:dyDescent="0.3">
      <c r="A34" s="14">
        <f t="shared" si="15"/>
        <v>80000</v>
      </c>
      <c r="B34" s="14">
        <f t="shared" si="0"/>
        <v>42.553191489361701</v>
      </c>
      <c r="C34" s="15">
        <f t="shared" si="1"/>
        <v>0.44999999999999996</v>
      </c>
      <c r="D34" s="14">
        <f t="shared" si="2"/>
        <v>19.148936170212767</v>
      </c>
      <c r="E34" s="14">
        <f t="shared" si="3"/>
        <v>61.702127659574472</v>
      </c>
      <c r="F34" s="14">
        <f t="shared" si="4"/>
        <v>77.127659574468083</v>
      </c>
      <c r="I34" s="16">
        <f t="shared" si="13"/>
        <v>150400</v>
      </c>
      <c r="J34" s="14">
        <f t="shared" si="16"/>
        <v>80</v>
      </c>
      <c r="K34" s="15">
        <f t="shared" si="5"/>
        <v>0.1</v>
      </c>
      <c r="L34" s="14">
        <f t="shared" si="6"/>
        <v>8</v>
      </c>
      <c r="M34" s="14">
        <f t="shared" si="7"/>
        <v>88</v>
      </c>
      <c r="N34" s="14">
        <f t="shared" si="8"/>
        <v>110</v>
      </c>
      <c r="Q34" s="16">
        <f t="shared" si="14"/>
        <v>150400</v>
      </c>
      <c r="R34" s="14">
        <f t="shared" si="17"/>
        <v>80</v>
      </c>
      <c r="S34" s="15">
        <f t="shared" si="9"/>
        <v>0.30000000000000004</v>
      </c>
      <c r="T34" s="14">
        <f t="shared" si="10"/>
        <v>24.000000000000004</v>
      </c>
      <c r="U34" s="14">
        <f t="shared" si="11"/>
        <v>104</v>
      </c>
      <c r="V34" s="14">
        <f t="shared" si="12"/>
        <v>124.8</v>
      </c>
    </row>
    <row r="35" spans="1:22" ht="15.75" customHeight="1" x14ac:dyDescent="0.3">
      <c r="A35" s="14">
        <f t="shared" si="15"/>
        <v>75000</v>
      </c>
      <c r="B35" s="14">
        <f t="shared" si="0"/>
        <v>39.893617021276597</v>
      </c>
      <c r="C35" s="15">
        <f t="shared" si="1"/>
        <v>0.44999999999999996</v>
      </c>
      <c r="D35" s="14">
        <f t="shared" si="2"/>
        <v>17.952127659574469</v>
      </c>
      <c r="E35" s="14">
        <f t="shared" si="3"/>
        <v>57.84574468085107</v>
      </c>
      <c r="F35" s="14">
        <f t="shared" si="4"/>
        <v>72.307180851063833</v>
      </c>
      <c r="I35" s="16">
        <f t="shared" si="13"/>
        <v>141000</v>
      </c>
      <c r="J35" s="14">
        <f t="shared" si="16"/>
        <v>75</v>
      </c>
      <c r="K35" s="15">
        <f t="shared" si="5"/>
        <v>0.1</v>
      </c>
      <c r="L35" s="14">
        <f t="shared" si="6"/>
        <v>7.5</v>
      </c>
      <c r="M35" s="14">
        <f t="shared" si="7"/>
        <v>82.5</v>
      </c>
      <c r="N35" s="14">
        <f t="shared" si="8"/>
        <v>103.125</v>
      </c>
      <c r="Q35" s="16">
        <f t="shared" si="14"/>
        <v>141000</v>
      </c>
      <c r="R35" s="14">
        <f t="shared" si="17"/>
        <v>75</v>
      </c>
      <c r="S35" s="15">
        <f t="shared" si="9"/>
        <v>0.30000000000000004</v>
      </c>
      <c r="T35" s="14">
        <f t="shared" si="10"/>
        <v>22.500000000000004</v>
      </c>
      <c r="U35" s="14">
        <f t="shared" si="11"/>
        <v>97.5</v>
      </c>
      <c r="V35" s="14">
        <f t="shared" si="12"/>
        <v>117</v>
      </c>
    </row>
    <row r="36" spans="1:22" ht="15.75" customHeight="1" x14ac:dyDescent="0.3">
      <c r="A36" s="14">
        <f t="shared" si="15"/>
        <v>70000</v>
      </c>
      <c r="B36" s="14">
        <f t="shared" si="0"/>
        <v>37.234042553191486</v>
      </c>
      <c r="C36" s="15">
        <f t="shared" si="1"/>
        <v>0.44999999999999996</v>
      </c>
      <c r="D36" s="14">
        <f t="shared" si="2"/>
        <v>16.755319148936167</v>
      </c>
      <c r="E36" s="14">
        <f t="shared" si="3"/>
        <v>53.989361702127653</v>
      </c>
      <c r="F36" s="14">
        <f t="shared" si="4"/>
        <v>67.486702127659569</v>
      </c>
      <c r="I36" s="16">
        <f t="shared" si="13"/>
        <v>131600</v>
      </c>
      <c r="J36" s="14">
        <f t="shared" si="16"/>
        <v>70</v>
      </c>
      <c r="K36" s="15">
        <f t="shared" si="5"/>
        <v>0.1</v>
      </c>
      <c r="L36" s="14">
        <f t="shared" si="6"/>
        <v>7</v>
      </c>
      <c r="M36" s="14">
        <f t="shared" si="7"/>
        <v>77</v>
      </c>
      <c r="N36" s="14">
        <f t="shared" si="8"/>
        <v>96.25</v>
      </c>
      <c r="Q36" s="16">
        <f t="shared" si="14"/>
        <v>131600</v>
      </c>
      <c r="R36" s="14">
        <f t="shared" si="17"/>
        <v>70</v>
      </c>
      <c r="S36" s="15">
        <f t="shared" si="9"/>
        <v>0.30000000000000004</v>
      </c>
      <c r="T36" s="14">
        <f t="shared" si="10"/>
        <v>21.000000000000004</v>
      </c>
      <c r="U36" s="14">
        <f t="shared" si="11"/>
        <v>91</v>
      </c>
      <c r="V36" s="14">
        <f t="shared" si="12"/>
        <v>109.2</v>
      </c>
    </row>
    <row r="37" spans="1:22" ht="15.75" customHeight="1" x14ac:dyDescent="0.3">
      <c r="A37" s="14">
        <f t="shared" si="15"/>
        <v>65000</v>
      </c>
      <c r="B37" s="14">
        <f t="shared" si="0"/>
        <v>34.574468085106382</v>
      </c>
      <c r="C37" s="15">
        <f t="shared" si="1"/>
        <v>0.44999999999999996</v>
      </c>
      <c r="D37" s="14">
        <f t="shared" si="2"/>
        <v>15.55851063829787</v>
      </c>
      <c r="E37" s="14">
        <f t="shared" si="3"/>
        <v>50.13297872340425</v>
      </c>
      <c r="F37" s="14">
        <f t="shared" si="4"/>
        <v>62.666223404255312</v>
      </c>
      <c r="I37" s="16">
        <f t="shared" si="13"/>
        <v>122200</v>
      </c>
      <c r="J37" s="14">
        <f t="shared" si="16"/>
        <v>65</v>
      </c>
      <c r="K37" s="15">
        <f t="shared" si="5"/>
        <v>0.1</v>
      </c>
      <c r="L37" s="14">
        <f t="shared" si="6"/>
        <v>6.5</v>
      </c>
      <c r="M37" s="14">
        <f t="shared" si="7"/>
        <v>71.5</v>
      </c>
      <c r="N37" s="14">
        <f t="shared" si="8"/>
        <v>89.375</v>
      </c>
      <c r="Q37" s="16">
        <f t="shared" si="14"/>
        <v>122200</v>
      </c>
      <c r="R37" s="14">
        <f t="shared" si="17"/>
        <v>65</v>
      </c>
      <c r="S37" s="15">
        <f t="shared" si="9"/>
        <v>0.30000000000000004</v>
      </c>
      <c r="T37" s="14">
        <f t="shared" si="10"/>
        <v>19.500000000000004</v>
      </c>
      <c r="U37" s="14">
        <f t="shared" si="11"/>
        <v>84.5</v>
      </c>
      <c r="V37" s="14">
        <f t="shared" si="12"/>
        <v>101.39999999999999</v>
      </c>
    </row>
    <row r="38" spans="1:22" ht="15.75" customHeight="1" x14ac:dyDescent="0.3">
      <c r="A38" s="14">
        <f t="shared" si="15"/>
        <v>60000</v>
      </c>
      <c r="B38" s="14">
        <f t="shared" si="0"/>
        <v>31.914893617021278</v>
      </c>
      <c r="C38" s="15">
        <f t="shared" si="1"/>
        <v>0.44999999999999996</v>
      </c>
      <c r="D38" s="14">
        <f t="shared" si="2"/>
        <v>14.361702127659573</v>
      </c>
      <c r="E38" s="14">
        <f t="shared" si="3"/>
        <v>46.276595744680847</v>
      </c>
      <c r="F38" s="14">
        <f t="shared" si="4"/>
        <v>57.845744680851055</v>
      </c>
      <c r="I38" s="16">
        <f t="shared" si="13"/>
        <v>112800</v>
      </c>
      <c r="J38" s="14">
        <f t="shared" si="16"/>
        <v>60</v>
      </c>
      <c r="K38" s="15">
        <f t="shared" si="5"/>
        <v>0.1</v>
      </c>
      <c r="L38" s="14">
        <f t="shared" si="6"/>
        <v>6</v>
      </c>
      <c r="M38" s="14">
        <f t="shared" si="7"/>
        <v>66</v>
      </c>
      <c r="N38" s="14">
        <f t="shared" si="8"/>
        <v>82.5</v>
      </c>
      <c r="Q38" s="16">
        <f t="shared" si="14"/>
        <v>112800</v>
      </c>
      <c r="R38" s="14">
        <f t="shared" si="17"/>
        <v>60</v>
      </c>
      <c r="S38" s="15">
        <f t="shared" si="9"/>
        <v>0.30000000000000004</v>
      </c>
      <c r="T38" s="14">
        <f t="shared" si="10"/>
        <v>18.000000000000004</v>
      </c>
      <c r="U38" s="14">
        <f t="shared" si="11"/>
        <v>78</v>
      </c>
      <c r="V38" s="14">
        <f t="shared" si="12"/>
        <v>93.6</v>
      </c>
    </row>
    <row r="39" spans="1:22" ht="15.75" customHeight="1" x14ac:dyDescent="0.3"/>
    <row r="40" spans="1:22" ht="15.75" customHeight="1" x14ac:dyDescent="0.3"/>
    <row r="41" spans="1:22" ht="15.75" customHeight="1" x14ac:dyDescent="0.3"/>
    <row r="42" spans="1:22" ht="15.75" customHeight="1" x14ac:dyDescent="0.3"/>
    <row r="43" spans="1:22" ht="15.75" customHeight="1" x14ac:dyDescent="0.3"/>
    <row r="44" spans="1:22" ht="15.75" customHeight="1" x14ac:dyDescent="0.3"/>
    <row r="45" spans="1:22" ht="15.75" customHeight="1" x14ac:dyDescent="0.3"/>
    <row r="46" spans="1:22" ht="15.75" customHeight="1" x14ac:dyDescent="0.3"/>
    <row r="47" spans="1:22" ht="15.75" customHeight="1" x14ac:dyDescent="0.3"/>
    <row r="48" spans="1:2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workbookViewId="0">
      <selection activeCell="G4" sqref="G4"/>
    </sheetView>
  </sheetViews>
  <sheetFormatPr defaultColWidth="14.44140625" defaultRowHeight="15" customHeight="1" x14ac:dyDescent="0.3"/>
  <cols>
    <col min="1" max="1" width="7" customWidth="1"/>
    <col min="8" max="8" width="11" customWidth="1"/>
    <col min="9" max="9" width="12.109375" customWidth="1"/>
    <col min="10" max="10" width="12" customWidth="1"/>
    <col min="11" max="11" width="11.44140625" customWidth="1"/>
    <col min="12" max="12" width="11.6640625" customWidth="1"/>
    <col min="13" max="13" width="12.44140625" customWidth="1"/>
  </cols>
  <sheetData>
    <row r="1" spans="1:14" ht="31.2" x14ac:dyDescent="0.6">
      <c r="A1" s="17" t="s">
        <v>17</v>
      </c>
    </row>
    <row r="2" spans="1:14" ht="14.4" x14ac:dyDescent="0.3">
      <c r="A2" s="2" t="s">
        <v>18</v>
      </c>
    </row>
    <row r="4" spans="1:14" ht="15" customHeight="1" x14ac:dyDescent="0.45">
      <c r="A4" s="1"/>
    </row>
    <row r="5" spans="1:14" ht="21.75" customHeight="1" x14ac:dyDescent="0.45">
      <c r="A5" s="1" t="s">
        <v>7</v>
      </c>
    </row>
    <row r="6" spans="1:14" ht="43.2" x14ac:dyDescent="0.3">
      <c r="B6" s="18" t="s">
        <v>1</v>
      </c>
      <c r="C6" s="18" t="s">
        <v>3</v>
      </c>
      <c r="D6" s="18" t="s">
        <v>2</v>
      </c>
      <c r="E6" s="18" t="s">
        <v>4</v>
      </c>
      <c r="F6" s="18" t="s">
        <v>6</v>
      </c>
      <c r="G6" s="18" t="s">
        <v>5</v>
      </c>
      <c r="I6" s="18" t="s">
        <v>19</v>
      </c>
      <c r="J6" s="18" t="s">
        <v>20</v>
      </c>
      <c r="K6" s="18" t="s">
        <v>21</v>
      </c>
      <c r="L6" s="18" t="s">
        <v>22</v>
      </c>
      <c r="M6" s="18" t="s">
        <v>23</v>
      </c>
      <c r="N6" s="18" t="s">
        <v>24</v>
      </c>
    </row>
    <row r="7" spans="1:14" ht="14.4" x14ac:dyDescent="0.3">
      <c r="A7" s="2"/>
      <c r="B7" s="4">
        <v>0.13</v>
      </c>
      <c r="C7" s="4">
        <v>0.1</v>
      </c>
      <c r="D7" s="4">
        <v>0.12</v>
      </c>
      <c r="E7" s="4">
        <v>0.1</v>
      </c>
      <c r="F7" s="4">
        <v>0.25</v>
      </c>
      <c r="G7" s="7">
        <v>1880</v>
      </c>
      <c r="I7" s="19">
        <v>145</v>
      </c>
      <c r="J7" s="57">
        <f>F10</f>
        <v>115.69148936170214</v>
      </c>
      <c r="K7" s="20">
        <f>I7 - J7</f>
        <v>29.308510638297861</v>
      </c>
      <c r="L7" s="20">
        <f>1000 / (G7 / 12)</f>
        <v>6.3829787234042561</v>
      </c>
      <c r="M7" s="21" t="s">
        <v>25</v>
      </c>
      <c r="N7" s="20" cm="1">
        <f t="array" ref="N7">_xlfn.IFS(M7 = "Yes",K7 - L7,M7 = "No",K7)</f>
        <v>22.925531914893604</v>
      </c>
    </row>
    <row r="8" spans="1:14" ht="14.4" x14ac:dyDescent="0.3">
      <c r="A8" s="2"/>
    </row>
    <row r="9" spans="1:14" ht="43.2" x14ac:dyDescent="0.3">
      <c r="A9" s="2"/>
      <c r="B9" s="18" t="s">
        <v>10</v>
      </c>
      <c r="C9" s="18" t="s">
        <v>11</v>
      </c>
      <c r="D9" s="18" t="s">
        <v>12</v>
      </c>
      <c r="E9" s="18" t="s">
        <v>13</v>
      </c>
      <c r="F9" s="18" t="s">
        <v>14</v>
      </c>
      <c r="G9" s="18" t="s">
        <v>15</v>
      </c>
      <c r="H9" s="6"/>
      <c r="I9" s="18" t="s">
        <v>26</v>
      </c>
      <c r="J9" s="18" t="s">
        <v>27</v>
      </c>
      <c r="K9" s="18" t="s">
        <v>28</v>
      </c>
      <c r="L9" s="22" t="s">
        <v>29</v>
      </c>
      <c r="M9" s="18" t="s">
        <v>30</v>
      </c>
      <c r="N9" s="18" t="s">
        <v>31</v>
      </c>
    </row>
    <row r="10" spans="1:14" ht="14.4" x14ac:dyDescent="0.3">
      <c r="A10" s="2"/>
      <c r="B10" s="23">
        <v>150000</v>
      </c>
      <c r="C10" s="20">
        <f>B10 / $G7</f>
        <v>79.787234042553195</v>
      </c>
      <c r="D10" s="3">
        <f>SUM($B7,$C7,$D7,$E7)</f>
        <v>0.44999999999999996</v>
      </c>
      <c r="E10" s="20">
        <f>(B10 * D10) / $G7</f>
        <v>35.904255319148938</v>
      </c>
      <c r="F10" s="20">
        <f>C10 + E10</f>
        <v>115.69148936170214</v>
      </c>
      <c r="G10" s="24">
        <f>F10 * (1+$F7)</f>
        <v>144.61436170212767</v>
      </c>
      <c r="H10" s="25"/>
      <c r="I10" s="16">
        <f>G7 * I7</f>
        <v>272600</v>
      </c>
      <c r="J10" s="16" cm="1">
        <f t="array" ref="J10">_xlfn.IFS(M7 = "Yes",G7 * (J7 + L7),M7 &lt;&gt; "Yes",G7 * (J7))</f>
        <v>229500</v>
      </c>
      <c r="K10" s="16">
        <f>I10 - J10</f>
        <v>43100</v>
      </c>
      <c r="L10" s="26">
        <f>K10 / J10</f>
        <v>0.18779956427015251</v>
      </c>
      <c r="M10" s="16">
        <f>I10 / 12</f>
        <v>22716.666666666668</v>
      </c>
      <c r="N10" s="16">
        <f>K10 / 12</f>
        <v>3591.6666666666665</v>
      </c>
    </row>
    <row r="11" spans="1:14" ht="14.4" x14ac:dyDescent="0.3">
      <c r="A11" s="2"/>
      <c r="H11" s="25"/>
      <c r="I11" s="25"/>
      <c r="J11" s="25"/>
      <c r="K11" s="25"/>
      <c r="L11" s="27"/>
    </row>
    <row r="12" spans="1:14" ht="14.4" x14ac:dyDescent="0.3">
      <c r="A12" s="2"/>
      <c r="H12" s="25"/>
      <c r="I12" s="25"/>
      <c r="J12" s="25"/>
      <c r="K12" s="25"/>
      <c r="L12" s="27"/>
    </row>
    <row r="13" spans="1:14" ht="23.25" customHeight="1" x14ac:dyDescent="0.45">
      <c r="A13" s="1" t="s">
        <v>9</v>
      </c>
      <c r="H13" s="25"/>
      <c r="I13" s="25"/>
      <c r="J13" s="25"/>
      <c r="K13" s="25"/>
      <c r="L13" s="27"/>
    </row>
    <row r="14" spans="1:14" ht="43.2" x14ac:dyDescent="0.3">
      <c r="B14" s="18" t="s">
        <v>1</v>
      </c>
      <c r="C14" s="18" t="s">
        <v>3</v>
      </c>
      <c r="D14" s="18" t="s">
        <v>2</v>
      </c>
      <c r="E14" s="18" t="s">
        <v>4</v>
      </c>
      <c r="F14" s="18" t="s">
        <v>6</v>
      </c>
      <c r="G14" s="18" t="s">
        <v>5</v>
      </c>
      <c r="H14" s="25"/>
      <c r="I14" s="18" t="s">
        <v>19</v>
      </c>
      <c r="J14" s="18" t="s">
        <v>20</v>
      </c>
      <c r="K14" s="18" t="s">
        <v>21</v>
      </c>
      <c r="L14" s="18" t="s">
        <v>22</v>
      </c>
      <c r="M14" s="18" t="s">
        <v>23</v>
      </c>
      <c r="N14" s="18" t="s">
        <v>24</v>
      </c>
    </row>
    <row r="15" spans="1:14" ht="14.4" x14ac:dyDescent="0.3">
      <c r="B15" s="4">
        <v>0.05</v>
      </c>
      <c r="C15" s="4">
        <v>0.2</v>
      </c>
      <c r="D15" s="4">
        <v>0.12</v>
      </c>
      <c r="E15" s="4">
        <v>0.05</v>
      </c>
      <c r="F15" s="28">
        <v>0.1</v>
      </c>
      <c r="G15" s="7">
        <v>1880</v>
      </c>
      <c r="H15" s="2"/>
      <c r="I15" s="19">
        <v>165</v>
      </c>
      <c r="J15" s="57">
        <f>F18</f>
        <v>151.06382978723403</v>
      </c>
      <c r="K15" s="20">
        <f>I15 - J15</f>
        <v>13.936170212765973</v>
      </c>
      <c r="L15" s="20">
        <f>1000 / (G15 / 12)</f>
        <v>6.3829787234042561</v>
      </c>
      <c r="M15" s="21" t="s">
        <v>25</v>
      </c>
      <c r="N15" s="20" cm="1">
        <f t="array" ref="N15">_xlfn.IFS(M15 = "Yes",K15 - L15,M15 = "No",K15)</f>
        <v>7.5531914893617165</v>
      </c>
    </row>
    <row r="16" spans="1:14" ht="14.4" x14ac:dyDescent="0.3">
      <c r="H16" s="2"/>
    </row>
    <row r="17" spans="1:14" ht="43.2" x14ac:dyDescent="0.3">
      <c r="B17" s="18" t="s">
        <v>10</v>
      </c>
      <c r="C17" s="18" t="s">
        <v>11</v>
      </c>
      <c r="D17" s="18" t="s">
        <v>12</v>
      </c>
      <c r="E17" s="18" t="s">
        <v>13</v>
      </c>
      <c r="F17" s="18" t="s">
        <v>14</v>
      </c>
      <c r="G17" s="18" t="s">
        <v>15</v>
      </c>
      <c r="H17" s="6"/>
      <c r="I17" s="18" t="s">
        <v>26</v>
      </c>
      <c r="J17" s="18" t="s">
        <v>27</v>
      </c>
      <c r="K17" s="18" t="s">
        <v>28</v>
      </c>
      <c r="L17" s="22" t="s">
        <v>29</v>
      </c>
      <c r="M17" s="18" t="s">
        <v>30</v>
      </c>
      <c r="N17" s="18" t="s">
        <v>31</v>
      </c>
    </row>
    <row r="18" spans="1:14" ht="14.4" x14ac:dyDescent="0.3">
      <c r="B18" s="23">
        <v>200000</v>
      </c>
      <c r="C18" s="20">
        <f>B18 / $G15</f>
        <v>106.38297872340425</v>
      </c>
      <c r="D18" s="3">
        <f>SUM($B15,$C15,$D15,$E15)</f>
        <v>0.42</v>
      </c>
      <c r="E18" s="20">
        <f>(B18 * D18) / $G15</f>
        <v>44.680851063829785</v>
      </c>
      <c r="F18" s="20">
        <f>C18 + E18</f>
        <v>151.06382978723403</v>
      </c>
      <c r="G18" s="24">
        <f>F18 * (1+$F15)</f>
        <v>166.17021276595744</v>
      </c>
      <c r="I18" s="16">
        <f>G15 * I15</f>
        <v>310200</v>
      </c>
      <c r="J18" s="16" cm="1">
        <f t="array" ref="J18">_xlfn.IFS(M15 = "Yes",G15 * (J15 + L15),M15 &lt;&gt; "Yes",G15 * (J15))</f>
        <v>295999.99999999994</v>
      </c>
      <c r="K18" s="16">
        <f>I18 - J18</f>
        <v>14200.000000000058</v>
      </c>
      <c r="L18" s="26">
        <f>K18 / J18</f>
        <v>4.7972972972973177E-2</v>
      </c>
      <c r="M18" s="16">
        <f>I18 / 12</f>
        <v>25850</v>
      </c>
      <c r="N18" s="16">
        <f>K18 / 12</f>
        <v>1183.3333333333383</v>
      </c>
    </row>
    <row r="19" spans="1:14" ht="14.4" x14ac:dyDescent="0.3">
      <c r="H19" s="2"/>
    </row>
    <row r="21" spans="1:14" ht="24" customHeight="1" x14ac:dyDescent="0.45">
      <c r="A21" s="1" t="s">
        <v>8</v>
      </c>
    </row>
    <row r="22" spans="1:14" ht="43.2" x14ac:dyDescent="0.3">
      <c r="B22" s="18" t="s">
        <v>1</v>
      </c>
      <c r="C22" s="18" t="s">
        <v>3</v>
      </c>
      <c r="D22" s="18" t="s">
        <v>2</v>
      </c>
      <c r="E22" s="18" t="s">
        <v>4</v>
      </c>
      <c r="F22" s="18" t="s">
        <v>6</v>
      </c>
      <c r="G22" s="18" t="s">
        <v>5</v>
      </c>
      <c r="I22" s="18" t="s">
        <v>19</v>
      </c>
      <c r="J22" s="18" t="s">
        <v>20</v>
      </c>
      <c r="K22" s="18" t="s">
        <v>21</v>
      </c>
      <c r="L22" s="18" t="s">
        <v>22</v>
      </c>
      <c r="M22" s="18" t="s">
        <v>23</v>
      </c>
      <c r="N22" s="18" t="s">
        <v>24</v>
      </c>
    </row>
    <row r="23" spans="1:14" ht="15.75" customHeight="1" x14ac:dyDescent="0.3">
      <c r="B23" s="4">
        <v>0</v>
      </c>
      <c r="C23" s="4">
        <v>0</v>
      </c>
      <c r="D23" s="4">
        <v>0</v>
      </c>
      <c r="E23" s="4">
        <v>0.05</v>
      </c>
      <c r="F23" s="4">
        <v>0.25</v>
      </c>
      <c r="G23" s="7">
        <v>1880</v>
      </c>
      <c r="H23">
        <f>G23/52</f>
        <v>36.153846153846153</v>
      </c>
      <c r="I23" s="19">
        <v>157</v>
      </c>
      <c r="J23" s="57">
        <f>F26</f>
        <v>147</v>
      </c>
      <c r="K23" s="20">
        <f>I23 - J23</f>
        <v>10</v>
      </c>
      <c r="L23" s="20">
        <f>1000 / (G23 / 12)</f>
        <v>6.3829787234042561</v>
      </c>
      <c r="M23" s="21" t="s">
        <v>32</v>
      </c>
      <c r="N23" s="20" cm="1">
        <f t="array" ref="N23">_xlfn.IFS(M23 = "Yes",K23 - L23,M23 = "No",K23)</f>
        <v>10</v>
      </c>
    </row>
    <row r="24" spans="1:14" ht="15.75" customHeight="1" x14ac:dyDescent="0.3">
      <c r="G24" s="114">
        <f>G23-H24</f>
        <v>1620</v>
      </c>
      <c r="H24">
        <f>52*5</f>
        <v>260</v>
      </c>
    </row>
    <row r="25" spans="1:14" ht="49.5" customHeight="1" x14ac:dyDescent="0.3">
      <c r="B25" s="18" t="s">
        <v>11</v>
      </c>
      <c r="C25" s="18" t="s">
        <v>33</v>
      </c>
      <c r="D25" s="18" t="s">
        <v>12</v>
      </c>
      <c r="E25" s="18" t="s">
        <v>13</v>
      </c>
      <c r="F25" s="18" t="s">
        <v>14</v>
      </c>
      <c r="G25" s="18" t="s">
        <v>15</v>
      </c>
      <c r="I25" s="18" t="s">
        <v>26</v>
      </c>
      <c r="J25" s="18" t="s">
        <v>27</v>
      </c>
      <c r="K25" s="18" t="s">
        <v>28</v>
      </c>
      <c r="L25" s="22" t="s">
        <v>29</v>
      </c>
      <c r="M25" s="18" t="s">
        <v>30</v>
      </c>
      <c r="N25" s="18" t="s">
        <v>31</v>
      </c>
    </row>
    <row r="26" spans="1:14" ht="15.75" customHeight="1" x14ac:dyDescent="0.3">
      <c r="B26" s="19">
        <v>140</v>
      </c>
      <c r="C26" s="16">
        <f>B26 * $G23</f>
        <v>263200</v>
      </c>
      <c r="D26" s="3">
        <f>SUM($B23,$C23,$D23,$E23)</f>
        <v>0.05</v>
      </c>
      <c r="E26" s="16">
        <f>(C26 * D26) / $G23</f>
        <v>7</v>
      </c>
      <c r="F26" s="20">
        <f>B26 +E26</f>
        <v>147</v>
      </c>
      <c r="G26" s="24">
        <f>F26 * (1+F23)</f>
        <v>183.75</v>
      </c>
      <c r="H26" t="s">
        <v>34</v>
      </c>
      <c r="I26" s="16">
        <f>G23 * I23</f>
        <v>295160</v>
      </c>
      <c r="J26" s="16" cm="1">
        <f t="array" ref="J26">_xlfn.IFS(M23 = "Yes",G23 * (J23 + L23),M23 &lt;&gt; "Yes",G23 * (J23))</f>
        <v>276360</v>
      </c>
      <c r="K26" s="16">
        <f>I26 - J26</f>
        <v>18800</v>
      </c>
      <c r="L26" s="26">
        <f>K26 / J26</f>
        <v>6.8027210884353748E-2</v>
      </c>
      <c r="M26" s="16">
        <f>I26 / 12</f>
        <v>24596.666666666668</v>
      </c>
      <c r="N26" s="16">
        <f>K26 / 12</f>
        <v>1566.6666666666667</v>
      </c>
    </row>
    <row r="27" spans="1:14" ht="15.75" customHeight="1" x14ac:dyDescent="0.3">
      <c r="H27" t="s">
        <v>35</v>
      </c>
      <c r="I27" s="16">
        <f>G23*I23</f>
        <v>295160</v>
      </c>
      <c r="J27" s="73">
        <f>G24*J23</f>
        <v>238140</v>
      </c>
      <c r="K27" s="16">
        <f t="shared" ref="K27" si="0">I27 - J27</f>
        <v>57020</v>
      </c>
      <c r="L27" s="26">
        <f>K27 / J27</f>
        <v>0.2394389854707315</v>
      </c>
      <c r="M27" s="16">
        <f t="shared" ref="M27" si="1">I27 / 12</f>
        <v>24596.666666666668</v>
      </c>
      <c r="N27" s="16">
        <f t="shared" ref="N27" si="2">K27 / 12</f>
        <v>4751.666666666667</v>
      </c>
    </row>
    <row r="28" spans="1:14" ht="15.75" customHeight="1" x14ac:dyDescent="0.3">
      <c r="K28" s="16"/>
      <c r="M28" s="16"/>
      <c r="N28" s="16"/>
    </row>
    <row r="29" spans="1:14" ht="15.75" customHeight="1" x14ac:dyDescent="0.3"/>
    <row r="30" spans="1:14" ht="15.75" customHeight="1" x14ac:dyDescent="0.3"/>
    <row r="31" spans="1:14" ht="15.75" customHeight="1" x14ac:dyDescent="0.3"/>
    <row r="32" spans="1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spans="8:8" ht="15.75" customHeight="1" x14ac:dyDescent="0.3"/>
    <row r="50" spans="8:8" ht="15.75" customHeight="1" x14ac:dyDescent="0.3"/>
    <row r="51" spans="8:8" ht="15" customHeight="1" x14ac:dyDescent="0.3">
      <c r="H51" s="2">
        <f>2844.71*2</f>
        <v>5689.42</v>
      </c>
    </row>
    <row r="52" spans="8:8" ht="15.75" customHeight="1" x14ac:dyDescent="0.3"/>
    <row r="53" spans="8:8" ht="15.75" customHeight="1" x14ac:dyDescent="0.3"/>
    <row r="54" spans="8:8" ht="15.75" customHeight="1" x14ac:dyDescent="0.3"/>
    <row r="55" spans="8:8" ht="15.75" customHeight="1" x14ac:dyDescent="0.3"/>
    <row r="56" spans="8:8" ht="15.75" customHeight="1" x14ac:dyDescent="0.3"/>
    <row r="57" spans="8:8" ht="15.75" customHeight="1" x14ac:dyDescent="0.3"/>
    <row r="58" spans="8:8" ht="15.75" customHeight="1" x14ac:dyDescent="0.3"/>
    <row r="59" spans="8:8" ht="15.75" customHeight="1" x14ac:dyDescent="0.3"/>
    <row r="60" spans="8:8" ht="15.75" customHeight="1" x14ac:dyDescent="0.3"/>
    <row r="61" spans="8:8" ht="15.75" customHeight="1" x14ac:dyDescent="0.3"/>
    <row r="62" spans="8:8" ht="15.75" customHeight="1" x14ac:dyDescent="0.3"/>
    <row r="63" spans="8:8" ht="15.75" customHeight="1" x14ac:dyDescent="0.3"/>
    <row r="64" spans="8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9363-B23C-4906-BADE-B5BAC260924B}">
  <dimension ref="B2:AD43"/>
  <sheetViews>
    <sheetView topLeftCell="E4" zoomScaleNormal="100" workbookViewId="0">
      <selection activeCell="Q13" sqref="Q13"/>
    </sheetView>
  </sheetViews>
  <sheetFormatPr defaultRowHeight="14.4" x14ac:dyDescent="0.3"/>
  <cols>
    <col min="2" max="2" width="31.44140625" customWidth="1"/>
    <col min="3" max="3" width="13.5546875" bestFit="1" customWidth="1"/>
    <col min="4" max="7" width="11.44140625" customWidth="1"/>
    <col min="8" max="8" width="7.109375" customWidth="1"/>
    <col min="9" max="14" width="11.44140625" customWidth="1"/>
    <col min="19" max="19" width="13.88671875" bestFit="1" customWidth="1"/>
    <col min="20" max="20" width="11.6640625" bestFit="1" customWidth="1"/>
    <col min="21" max="29" width="9.88671875" customWidth="1"/>
    <col min="30" max="30" width="9.5546875" bestFit="1" customWidth="1"/>
  </cols>
  <sheetData>
    <row r="2" spans="2:30" x14ac:dyDescent="0.3">
      <c r="B2" s="66" t="s">
        <v>36</v>
      </c>
    </row>
    <row r="3" spans="2:30" x14ac:dyDescent="0.3">
      <c r="D3" s="66" t="s">
        <v>37</v>
      </c>
    </row>
    <row r="4" spans="2:30" x14ac:dyDescent="0.3">
      <c r="B4" s="258" t="s">
        <v>38</v>
      </c>
      <c r="C4" s="258">
        <v>25</v>
      </c>
    </row>
    <row r="5" spans="2:30" x14ac:dyDescent="0.3">
      <c r="B5" s="258" t="s">
        <v>39</v>
      </c>
      <c r="C5" s="259">
        <v>22</v>
      </c>
      <c r="D5" t="s">
        <v>40</v>
      </c>
    </row>
    <row r="6" spans="2:30" x14ac:dyDescent="0.3">
      <c r="B6" s="268" t="s">
        <v>41</v>
      </c>
      <c r="C6" s="266">
        <v>15</v>
      </c>
      <c r="D6" t="s">
        <v>42</v>
      </c>
    </row>
    <row r="7" spans="2:30" x14ac:dyDescent="0.3">
      <c r="B7" s="258" t="s">
        <v>43</v>
      </c>
      <c r="C7" s="260">
        <f>C4*C5*160</f>
        <v>88000</v>
      </c>
    </row>
    <row r="8" spans="2:30" x14ac:dyDescent="0.3">
      <c r="B8" s="258" t="s">
        <v>44</v>
      </c>
      <c r="C8" s="259">
        <f>C7*12</f>
        <v>1056000</v>
      </c>
    </row>
    <row r="9" spans="2:30" x14ac:dyDescent="0.3">
      <c r="B9" s="268" t="s">
        <v>45</v>
      </c>
      <c r="C9" s="259">
        <f>J29/12</f>
        <v>3288</v>
      </c>
    </row>
    <row r="10" spans="2:30" x14ac:dyDescent="0.3">
      <c r="B10" s="258" t="s">
        <v>46</v>
      </c>
      <c r="C10" s="260">
        <v>20000</v>
      </c>
      <c r="D10" s="267" t="s">
        <v>47</v>
      </c>
    </row>
    <row r="11" spans="2:30" x14ac:dyDescent="0.3">
      <c r="B11" s="268" t="s">
        <v>48</v>
      </c>
      <c r="C11" s="260">
        <v>10000</v>
      </c>
      <c r="D11" s="267" t="s">
        <v>49</v>
      </c>
    </row>
    <row r="12" spans="2:30" x14ac:dyDescent="0.3">
      <c r="B12" s="268" t="s">
        <v>50</v>
      </c>
      <c r="C12" s="260">
        <v>70000</v>
      </c>
    </row>
    <row r="13" spans="2:30" x14ac:dyDescent="0.3">
      <c r="B13" s="268" t="s">
        <v>51</v>
      </c>
      <c r="C13" s="261">
        <f>C12/12</f>
        <v>5833.333333333333</v>
      </c>
    </row>
    <row r="14" spans="2:30" x14ac:dyDescent="0.3">
      <c r="B14" s="267"/>
      <c r="C14" s="89"/>
    </row>
    <row r="15" spans="2:30" x14ac:dyDescent="0.3">
      <c r="B15" s="267"/>
    </row>
    <row r="16" spans="2:30" ht="21" x14ac:dyDescent="0.4">
      <c r="B16" s="49" t="s">
        <v>52</v>
      </c>
      <c r="C16" s="50"/>
      <c r="D16" s="50" t="s">
        <v>53</v>
      </c>
      <c r="E16" s="50" t="s">
        <v>53</v>
      </c>
      <c r="F16" s="50" t="s">
        <v>53</v>
      </c>
      <c r="G16" s="50" t="s">
        <v>53</v>
      </c>
      <c r="H16" s="50" t="s">
        <v>53</v>
      </c>
      <c r="I16" s="50" t="s">
        <v>53</v>
      </c>
      <c r="J16" s="50" t="s">
        <v>53</v>
      </c>
      <c r="K16" s="50" t="s">
        <v>53</v>
      </c>
      <c r="L16" s="50" t="s">
        <v>53</v>
      </c>
      <c r="M16" s="50" t="s">
        <v>53</v>
      </c>
      <c r="N16" s="51" t="s">
        <v>53</v>
      </c>
      <c r="T16" s="66" t="s">
        <v>54</v>
      </c>
      <c r="U16" s="66" t="s">
        <v>55</v>
      </c>
      <c r="V16" s="66" t="s">
        <v>56</v>
      </c>
      <c r="W16" s="66" t="s">
        <v>57</v>
      </c>
      <c r="X16" s="66" t="s">
        <v>58</v>
      </c>
      <c r="Y16" s="66" t="s">
        <v>59</v>
      </c>
      <c r="Z16" s="66" t="s">
        <v>60</v>
      </c>
      <c r="AA16" s="66" t="s">
        <v>61</v>
      </c>
      <c r="AB16" s="66" t="s">
        <v>62</v>
      </c>
      <c r="AC16" s="66" t="s">
        <v>63</v>
      </c>
      <c r="AD16" s="66" t="s">
        <v>64</v>
      </c>
    </row>
    <row r="17" spans="2:30" ht="57.6" x14ac:dyDescent="0.3">
      <c r="B17" s="33" t="s">
        <v>1</v>
      </c>
      <c r="C17" s="34" t="s">
        <v>3</v>
      </c>
      <c r="D17" s="34" t="s">
        <v>2</v>
      </c>
      <c r="E17" s="34" t="s">
        <v>4</v>
      </c>
      <c r="F17" s="34" t="s">
        <v>6</v>
      </c>
      <c r="G17" s="34" t="s">
        <v>5</v>
      </c>
      <c r="H17" s="34" t="s">
        <v>53</v>
      </c>
      <c r="I17" s="34" t="s">
        <v>19</v>
      </c>
      <c r="J17" s="34" t="s">
        <v>20</v>
      </c>
      <c r="K17" s="34" t="s">
        <v>21</v>
      </c>
      <c r="L17" s="35" t="s">
        <v>22</v>
      </c>
      <c r="M17" s="34" t="s">
        <v>23</v>
      </c>
      <c r="N17" s="36" t="s">
        <v>24</v>
      </c>
      <c r="R17" s="264" t="s">
        <v>65</v>
      </c>
      <c r="S17" s="273" t="s">
        <v>66</v>
      </c>
      <c r="T17" s="273">
        <v>15000</v>
      </c>
      <c r="U17" s="260">
        <v>15000</v>
      </c>
      <c r="V17" s="260"/>
      <c r="W17" s="260">
        <v>1000</v>
      </c>
      <c r="X17" s="260"/>
      <c r="Y17" s="260">
        <v>1000</v>
      </c>
      <c r="Z17" s="260"/>
      <c r="AA17" s="260">
        <v>1000</v>
      </c>
      <c r="AB17" s="260"/>
      <c r="AC17" s="260">
        <v>1000</v>
      </c>
      <c r="AD17" s="265">
        <f>SUM(T17:AC17)</f>
        <v>34000</v>
      </c>
    </row>
    <row r="18" spans="2:30" x14ac:dyDescent="0.3">
      <c r="B18" s="263">
        <v>0.13</v>
      </c>
      <c r="C18" s="262">
        <v>0.05</v>
      </c>
      <c r="D18" s="53">
        <v>0.12</v>
      </c>
      <c r="E18" s="262">
        <v>7.0000000000000007E-2</v>
      </c>
      <c r="F18" s="53">
        <v>0.25</v>
      </c>
      <c r="G18" s="140">
        <f>1920*25</f>
        <v>48000</v>
      </c>
      <c r="H18" s="37" t="s">
        <v>53</v>
      </c>
      <c r="I18" s="56">
        <v>22</v>
      </c>
      <c r="J18" s="29">
        <f>F21</f>
        <v>20.55</v>
      </c>
      <c r="K18" s="29">
        <v>52.59</v>
      </c>
      <c r="L18" s="29">
        <v>6.38</v>
      </c>
      <c r="M18" s="54" t="s">
        <v>32</v>
      </c>
      <c r="N18" s="38">
        <f>_xlfn.IFS(M18 = "Yes",K18 - L18,M18 = "No",K18)</f>
        <v>52.59</v>
      </c>
      <c r="R18" s="268"/>
      <c r="S18" s="273" t="s">
        <v>67</v>
      </c>
      <c r="T18" s="273">
        <f>$C$13</f>
        <v>5833.333333333333</v>
      </c>
      <c r="U18" s="273">
        <f t="shared" ref="U18:AC18" si="0">$C$13</f>
        <v>5833.333333333333</v>
      </c>
      <c r="V18" s="273">
        <f t="shared" si="0"/>
        <v>5833.333333333333</v>
      </c>
      <c r="W18" s="273">
        <f t="shared" si="0"/>
        <v>5833.333333333333</v>
      </c>
      <c r="X18" s="273">
        <f t="shared" si="0"/>
        <v>5833.333333333333</v>
      </c>
      <c r="Y18" s="273">
        <f t="shared" si="0"/>
        <v>5833.333333333333</v>
      </c>
      <c r="Z18" s="273">
        <f t="shared" si="0"/>
        <v>5833.333333333333</v>
      </c>
      <c r="AA18" s="273">
        <f t="shared" si="0"/>
        <v>5833.333333333333</v>
      </c>
      <c r="AB18" s="273">
        <f t="shared" si="0"/>
        <v>5833.333333333333</v>
      </c>
      <c r="AC18" s="273">
        <f t="shared" si="0"/>
        <v>5833.333333333333</v>
      </c>
      <c r="AD18" s="265">
        <f t="shared" ref="AD18:AD20" si="1">SUM(T18:AC18)</f>
        <v>58333.333333333343</v>
      </c>
    </row>
    <row r="19" spans="2:30" x14ac:dyDescent="0.3">
      <c r="B19" s="39" t="s">
        <v>53</v>
      </c>
      <c r="C19" s="40" t="s">
        <v>53</v>
      </c>
      <c r="D19" s="40" t="s">
        <v>53</v>
      </c>
      <c r="E19" s="40" t="s">
        <v>53</v>
      </c>
      <c r="F19" s="40" t="s">
        <v>53</v>
      </c>
      <c r="G19" s="40" t="s">
        <v>53</v>
      </c>
      <c r="H19" s="40" t="s">
        <v>53</v>
      </c>
      <c r="I19" s="40" t="s">
        <v>53</v>
      </c>
      <c r="J19" s="40" t="s">
        <v>53</v>
      </c>
      <c r="K19" s="40" t="s">
        <v>53</v>
      </c>
      <c r="L19" s="40" t="s">
        <v>53</v>
      </c>
      <c r="M19" s="40" t="s">
        <v>53</v>
      </c>
      <c r="N19" s="41" t="s">
        <v>53</v>
      </c>
      <c r="R19" s="268"/>
      <c r="S19" s="273" t="s">
        <v>68</v>
      </c>
      <c r="T19" s="273"/>
      <c r="U19" s="260">
        <f>$C$9*12</f>
        <v>39456</v>
      </c>
      <c r="V19" s="260">
        <f>$C$9*19</f>
        <v>62472</v>
      </c>
      <c r="W19" s="260">
        <f>$C$9*25</f>
        <v>82200</v>
      </c>
      <c r="X19" s="260">
        <f t="shared" ref="X19:AC19" si="2">$C$9*25</f>
        <v>82200</v>
      </c>
      <c r="Y19" s="260">
        <f t="shared" si="2"/>
        <v>82200</v>
      </c>
      <c r="Z19" s="260">
        <f t="shared" si="2"/>
        <v>82200</v>
      </c>
      <c r="AA19" s="260">
        <f t="shared" si="2"/>
        <v>82200</v>
      </c>
      <c r="AB19" s="260">
        <f t="shared" si="2"/>
        <v>82200</v>
      </c>
      <c r="AC19" s="260">
        <f t="shared" si="2"/>
        <v>82200</v>
      </c>
      <c r="AD19" s="265">
        <f t="shared" si="1"/>
        <v>677328</v>
      </c>
    </row>
    <row r="20" spans="2:30" ht="57.6" x14ac:dyDescent="0.3">
      <c r="B20" s="33" t="s">
        <v>10</v>
      </c>
      <c r="C20" s="34" t="s">
        <v>11</v>
      </c>
      <c r="D20" s="34" t="s">
        <v>12</v>
      </c>
      <c r="E20" s="34" t="s">
        <v>13</v>
      </c>
      <c r="F20" s="34" t="s">
        <v>14</v>
      </c>
      <c r="G20" s="34" t="s">
        <v>15</v>
      </c>
      <c r="H20" s="34" t="s">
        <v>53</v>
      </c>
      <c r="I20" s="34" t="s">
        <v>26</v>
      </c>
      <c r="J20" s="34" t="s">
        <v>27</v>
      </c>
      <c r="K20" s="34" t="s">
        <v>28</v>
      </c>
      <c r="L20" s="30" t="s">
        <v>29</v>
      </c>
      <c r="M20" s="34" t="s">
        <v>30</v>
      </c>
      <c r="N20" s="36" t="s">
        <v>31</v>
      </c>
      <c r="R20" s="264" t="s">
        <v>69</v>
      </c>
      <c r="S20" s="273"/>
      <c r="T20" s="273"/>
      <c r="U20" s="260">
        <f>C7/2</f>
        <v>44000</v>
      </c>
      <c r="V20" s="260">
        <f>C7*0.75</f>
        <v>66000</v>
      </c>
      <c r="W20" s="260">
        <f>$C$7</f>
        <v>88000</v>
      </c>
      <c r="X20" s="260">
        <f t="shared" ref="X20:AC20" si="3">$C$7</f>
        <v>88000</v>
      </c>
      <c r="Y20" s="260">
        <f t="shared" si="3"/>
        <v>88000</v>
      </c>
      <c r="Z20" s="260">
        <f t="shared" si="3"/>
        <v>88000</v>
      </c>
      <c r="AA20" s="260">
        <f t="shared" si="3"/>
        <v>88000</v>
      </c>
      <c r="AB20" s="260">
        <f t="shared" si="3"/>
        <v>88000</v>
      </c>
      <c r="AC20" s="260">
        <f t="shared" si="3"/>
        <v>88000</v>
      </c>
      <c r="AD20" s="265">
        <f t="shared" si="1"/>
        <v>726000</v>
      </c>
    </row>
    <row r="21" spans="2:30" x14ac:dyDescent="0.3">
      <c r="B21" s="52">
        <f>C6*C4*1920</f>
        <v>720000</v>
      </c>
      <c r="C21" s="42">
        <f>B21 / $G18</f>
        <v>15</v>
      </c>
      <c r="D21" s="43">
        <f>SUM($B18,$C18,$D18,$E18)</f>
        <v>0.37</v>
      </c>
      <c r="E21" s="42">
        <f>(B21 * D21) / $G18</f>
        <v>5.55</v>
      </c>
      <c r="F21" s="42">
        <f>C21 + E21</f>
        <v>20.55</v>
      </c>
      <c r="G21" s="42">
        <f>F21 * (1+$F18)</f>
        <v>25.6875</v>
      </c>
      <c r="H21" s="44" t="s">
        <v>53</v>
      </c>
      <c r="I21" s="45">
        <f>G18 * I18</f>
        <v>1056000</v>
      </c>
      <c r="J21" s="45">
        <f>_xlfn.IFS(M18 = "Yes",G18 * (J18 + L18),M18 &lt;&gt; "Yes",G18 * (J18))</f>
        <v>986400</v>
      </c>
      <c r="K21" s="45">
        <f>I21 - J21</f>
        <v>69600</v>
      </c>
      <c r="L21" s="46">
        <f>K21 / I21</f>
        <v>6.5909090909090903E-2</v>
      </c>
      <c r="M21" s="45">
        <f>I21 / 12</f>
        <v>88000</v>
      </c>
      <c r="N21" s="47">
        <f>K21 / 12</f>
        <v>5800</v>
      </c>
      <c r="O21" s="63"/>
      <c r="R21" s="264" t="s">
        <v>70</v>
      </c>
      <c r="S21" s="258"/>
      <c r="T21" s="265">
        <f>T20-SUM(T17:T19)</f>
        <v>-20833.333333333332</v>
      </c>
      <c r="U21" s="265">
        <f t="shared" ref="U21:AC21" si="4">U20-SUM(U17:U19)</f>
        <v>-16289.333333333328</v>
      </c>
      <c r="V21" s="265">
        <f t="shared" si="4"/>
        <v>-2305.3333333333285</v>
      </c>
      <c r="W21" s="265">
        <f t="shared" si="4"/>
        <v>-1033.3333333333285</v>
      </c>
      <c r="X21" s="265">
        <f t="shared" si="4"/>
        <v>-33.333333333328483</v>
      </c>
      <c r="Y21" s="265">
        <f t="shared" si="4"/>
        <v>-1033.3333333333285</v>
      </c>
      <c r="Z21" s="265">
        <f t="shared" si="4"/>
        <v>-33.333333333328483</v>
      </c>
      <c r="AA21" s="265">
        <f t="shared" si="4"/>
        <v>-1033.3333333333285</v>
      </c>
      <c r="AB21" s="265">
        <f t="shared" si="4"/>
        <v>-33.333333333328483</v>
      </c>
      <c r="AC21" s="265">
        <f t="shared" si="4"/>
        <v>-1033.3333333333285</v>
      </c>
      <c r="AD21" s="265">
        <f>SUM(T21:AC21)</f>
        <v>-43661.333333333285</v>
      </c>
    </row>
    <row r="23" spans="2:30" x14ac:dyDescent="0.3">
      <c r="R23" s="66" t="s">
        <v>71</v>
      </c>
    </row>
    <row r="24" spans="2:30" ht="21" x14ac:dyDescent="0.4">
      <c r="B24" s="49" t="s">
        <v>72</v>
      </c>
      <c r="C24" s="50"/>
      <c r="D24" s="50" t="s">
        <v>53</v>
      </c>
      <c r="E24" s="50" t="s">
        <v>53</v>
      </c>
      <c r="F24" s="50" t="s">
        <v>53</v>
      </c>
      <c r="G24" s="50" t="s">
        <v>53</v>
      </c>
      <c r="H24" s="50" t="s">
        <v>53</v>
      </c>
      <c r="I24" s="50" t="s">
        <v>53</v>
      </c>
      <c r="J24" s="50" t="s">
        <v>53</v>
      </c>
      <c r="K24" s="50" t="s">
        <v>53</v>
      </c>
      <c r="L24" s="50" t="s">
        <v>53</v>
      </c>
      <c r="M24" s="50" t="s">
        <v>53</v>
      </c>
      <c r="N24" s="51" t="s">
        <v>53</v>
      </c>
      <c r="R24" s="274" t="s">
        <v>73</v>
      </c>
    </row>
    <row r="25" spans="2:30" ht="57.6" x14ac:dyDescent="0.3">
      <c r="B25" s="33" t="s">
        <v>1</v>
      </c>
      <c r="C25" s="34" t="s">
        <v>3</v>
      </c>
      <c r="D25" s="34" t="s">
        <v>2</v>
      </c>
      <c r="E25" s="34" t="s">
        <v>4</v>
      </c>
      <c r="F25" s="34" t="s">
        <v>6</v>
      </c>
      <c r="G25" s="34" t="s">
        <v>5</v>
      </c>
      <c r="H25" s="34" t="s">
        <v>53</v>
      </c>
      <c r="I25" s="34" t="s">
        <v>19</v>
      </c>
      <c r="J25" s="34" t="s">
        <v>20</v>
      </c>
      <c r="K25" s="34" t="s">
        <v>21</v>
      </c>
      <c r="L25" s="35" t="s">
        <v>22</v>
      </c>
      <c r="M25" s="34" t="s">
        <v>23</v>
      </c>
      <c r="N25" s="36" t="s">
        <v>24</v>
      </c>
      <c r="R25" s="274" t="s">
        <v>74</v>
      </c>
    </row>
    <row r="26" spans="2:30" x14ac:dyDescent="0.3">
      <c r="B26" s="55">
        <v>0.13</v>
      </c>
      <c r="C26" s="53">
        <v>0.05</v>
      </c>
      <c r="D26" s="53">
        <v>0.12</v>
      </c>
      <c r="E26" s="53">
        <v>7.0000000000000007E-2</v>
      </c>
      <c r="F26" s="53">
        <v>0.25</v>
      </c>
      <c r="G26" s="140">
        <v>1920</v>
      </c>
      <c r="H26" s="37" t="s">
        <v>53</v>
      </c>
      <c r="I26" s="56">
        <v>22</v>
      </c>
      <c r="J26" s="29">
        <f>F29</f>
        <v>20.55</v>
      </c>
      <c r="K26" s="29">
        <v>52.59</v>
      </c>
      <c r="L26" s="29">
        <v>6.38</v>
      </c>
      <c r="M26" s="54" t="s">
        <v>32</v>
      </c>
      <c r="N26" s="38">
        <f>_xlfn.IFS(M26 = "Yes",K26 - L26,M26 = "No",K26)</f>
        <v>52.59</v>
      </c>
      <c r="R26" s="274" t="s">
        <v>75</v>
      </c>
    </row>
    <row r="27" spans="2:30" x14ac:dyDescent="0.3">
      <c r="B27" s="39" t="s">
        <v>53</v>
      </c>
      <c r="C27" s="40" t="s">
        <v>53</v>
      </c>
      <c r="D27" s="40" t="s">
        <v>53</v>
      </c>
      <c r="E27" s="40" t="s">
        <v>53</v>
      </c>
      <c r="F27" s="40" t="s">
        <v>53</v>
      </c>
      <c r="G27" s="40" t="s">
        <v>53</v>
      </c>
      <c r="H27" s="40" t="s">
        <v>53</v>
      </c>
      <c r="I27" s="40" t="s">
        <v>53</v>
      </c>
      <c r="J27" s="40" t="s">
        <v>53</v>
      </c>
      <c r="K27" s="40" t="s">
        <v>53</v>
      </c>
      <c r="L27" s="40" t="s">
        <v>53</v>
      </c>
      <c r="M27" s="40" t="s">
        <v>53</v>
      </c>
      <c r="N27" s="41" t="s">
        <v>53</v>
      </c>
      <c r="R27" s="274" t="s">
        <v>76</v>
      </c>
    </row>
    <row r="28" spans="2:30" ht="57.6" x14ac:dyDescent="0.3">
      <c r="B28" s="33" t="s">
        <v>10</v>
      </c>
      <c r="C28" s="34" t="s">
        <v>11</v>
      </c>
      <c r="D28" s="34" t="s">
        <v>12</v>
      </c>
      <c r="E28" s="34" t="s">
        <v>13</v>
      </c>
      <c r="F28" s="34" t="s">
        <v>14</v>
      </c>
      <c r="G28" s="34" t="s">
        <v>15</v>
      </c>
      <c r="H28" s="34" t="s">
        <v>53</v>
      </c>
      <c r="I28" s="34" t="s">
        <v>26</v>
      </c>
      <c r="J28" s="34" t="s">
        <v>27</v>
      </c>
      <c r="K28" s="34" t="s">
        <v>28</v>
      </c>
      <c r="L28" s="30" t="s">
        <v>29</v>
      </c>
      <c r="M28" s="34" t="s">
        <v>30</v>
      </c>
      <c r="N28" s="36" t="s">
        <v>31</v>
      </c>
    </row>
    <row r="29" spans="2:30" x14ac:dyDescent="0.3">
      <c r="B29" s="52">
        <f>15*1920</f>
        <v>28800</v>
      </c>
      <c r="C29" s="42">
        <f>B29 / $G26</f>
        <v>15</v>
      </c>
      <c r="D29" s="43">
        <f>SUM($B26,$C26,$D26,$E26)</f>
        <v>0.37</v>
      </c>
      <c r="E29" s="42">
        <f>(B29 * D29) / $G26</f>
        <v>5.55</v>
      </c>
      <c r="F29" s="42">
        <f>C29 + E29</f>
        <v>20.55</v>
      </c>
      <c r="G29" s="42">
        <f>F29 * (1+$F26)</f>
        <v>25.6875</v>
      </c>
      <c r="H29" s="44" t="s">
        <v>53</v>
      </c>
      <c r="I29" s="45">
        <f>G26 * I26</f>
        <v>42240</v>
      </c>
      <c r="J29" s="45">
        <f>_xlfn.IFS(M26 = "Yes",G26 * (J26 + L26),M26 &lt;&gt; "Yes",G26 * (J26))</f>
        <v>39456</v>
      </c>
      <c r="K29" s="45">
        <f>I29 - J29</f>
        <v>2784</v>
      </c>
      <c r="L29" s="46">
        <f>K29 / I29</f>
        <v>6.5909090909090903E-2</v>
      </c>
      <c r="M29" s="45">
        <f>I29 / 12</f>
        <v>3520</v>
      </c>
      <c r="N29" s="47">
        <f>K29 / 12</f>
        <v>232</v>
      </c>
    </row>
    <row r="31" spans="2:30" ht="21" x14ac:dyDescent="0.4">
      <c r="B31" s="49" t="s">
        <v>77</v>
      </c>
      <c r="C31" s="50"/>
      <c r="D31" s="50" t="s">
        <v>53</v>
      </c>
      <c r="E31" s="50" t="s">
        <v>53</v>
      </c>
      <c r="F31" s="50" t="s">
        <v>53</v>
      </c>
      <c r="G31" s="50" t="s">
        <v>53</v>
      </c>
      <c r="H31" s="50" t="s">
        <v>53</v>
      </c>
      <c r="I31" s="50" t="s">
        <v>53</v>
      </c>
      <c r="J31" s="50" t="s">
        <v>53</v>
      </c>
      <c r="K31" s="50" t="s">
        <v>53</v>
      </c>
      <c r="L31" s="50" t="s">
        <v>53</v>
      </c>
      <c r="M31" s="50" t="s">
        <v>53</v>
      </c>
      <c r="N31" s="51" t="s">
        <v>53</v>
      </c>
    </row>
    <row r="32" spans="2:30" ht="57.6" x14ac:dyDescent="0.3">
      <c r="B32" s="33" t="s">
        <v>1</v>
      </c>
      <c r="C32" s="34" t="s">
        <v>3</v>
      </c>
      <c r="D32" s="34" t="s">
        <v>2</v>
      </c>
      <c r="E32" s="34" t="s">
        <v>4</v>
      </c>
      <c r="F32" s="34" t="s">
        <v>6</v>
      </c>
      <c r="G32" s="34" t="s">
        <v>5</v>
      </c>
      <c r="H32" s="34" t="s">
        <v>53</v>
      </c>
      <c r="I32" s="34" t="s">
        <v>19</v>
      </c>
      <c r="J32" s="34" t="s">
        <v>20</v>
      </c>
      <c r="K32" s="34" t="s">
        <v>21</v>
      </c>
      <c r="L32" s="35" t="s">
        <v>22</v>
      </c>
      <c r="M32" s="34" t="s">
        <v>23</v>
      </c>
      <c r="N32" s="36" t="s">
        <v>24</v>
      </c>
    </row>
    <row r="33" spans="2:14" x14ac:dyDescent="0.3">
      <c r="B33" s="55">
        <v>0</v>
      </c>
      <c r="C33" s="53">
        <v>0</v>
      </c>
      <c r="D33" s="53">
        <v>0</v>
      </c>
      <c r="E33" s="53">
        <v>0.05</v>
      </c>
      <c r="F33" s="53">
        <v>0.25</v>
      </c>
      <c r="G33" s="140">
        <v>1920</v>
      </c>
      <c r="H33" s="37" t="s">
        <v>53</v>
      </c>
      <c r="I33" s="56">
        <v>22</v>
      </c>
      <c r="J33" s="29">
        <f>F36</f>
        <v>15.75</v>
      </c>
      <c r="K33" s="29">
        <v>52.59</v>
      </c>
      <c r="L33" s="29">
        <v>6.38</v>
      </c>
      <c r="M33" s="54" t="s">
        <v>32</v>
      </c>
      <c r="N33" s="38">
        <f>_xlfn.IFS(M33 = "Yes",K33 - L33,M33 = "No",K33)</f>
        <v>52.59</v>
      </c>
    </row>
    <row r="34" spans="2:14" x14ac:dyDescent="0.3">
      <c r="B34" s="39" t="s">
        <v>53</v>
      </c>
      <c r="C34" s="40" t="s">
        <v>53</v>
      </c>
      <c r="D34" s="40" t="s">
        <v>53</v>
      </c>
      <c r="E34" s="40" t="s">
        <v>53</v>
      </c>
      <c r="F34" s="40" t="s">
        <v>53</v>
      </c>
      <c r="G34" s="40" t="s">
        <v>53</v>
      </c>
      <c r="H34" s="40" t="s">
        <v>53</v>
      </c>
      <c r="I34" s="40" t="s">
        <v>53</v>
      </c>
      <c r="J34" s="40" t="s">
        <v>53</v>
      </c>
      <c r="K34" s="40" t="s">
        <v>53</v>
      </c>
      <c r="L34" s="40" t="s">
        <v>53</v>
      </c>
      <c r="M34" s="40" t="s">
        <v>53</v>
      </c>
      <c r="N34" s="41" t="s">
        <v>53</v>
      </c>
    </row>
    <row r="35" spans="2:14" ht="57.6" x14ac:dyDescent="0.3">
      <c r="B35" s="33" t="s">
        <v>10</v>
      </c>
      <c r="C35" s="34" t="s">
        <v>11</v>
      </c>
      <c r="D35" s="34" t="s">
        <v>12</v>
      </c>
      <c r="E35" s="34" t="s">
        <v>13</v>
      </c>
      <c r="F35" s="34" t="s">
        <v>14</v>
      </c>
      <c r="G35" s="34" t="s">
        <v>15</v>
      </c>
      <c r="H35" s="34" t="s">
        <v>53</v>
      </c>
      <c r="I35" s="34" t="s">
        <v>26</v>
      </c>
      <c r="J35" s="34" t="s">
        <v>27</v>
      </c>
      <c r="K35" s="34" t="s">
        <v>28</v>
      </c>
      <c r="L35" s="30" t="s">
        <v>29</v>
      </c>
      <c r="M35" s="34" t="s">
        <v>30</v>
      </c>
      <c r="N35" s="36" t="s">
        <v>31</v>
      </c>
    </row>
    <row r="36" spans="2:14" x14ac:dyDescent="0.3">
      <c r="B36" s="52">
        <f>15*1920</f>
        <v>28800</v>
      </c>
      <c r="C36" s="42">
        <f>B36 / $G33</f>
        <v>15</v>
      </c>
      <c r="D36" s="43">
        <f>SUM($B33,$C33,$D33,$E33)</f>
        <v>0.05</v>
      </c>
      <c r="E36" s="42">
        <f>(B36 * D36) / $G33</f>
        <v>0.75</v>
      </c>
      <c r="F36" s="42">
        <f>C36 + E36</f>
        <v>15.75</v>
      </c>
      <c r="G36" s="42">
        <f>F36 * (1+$F33)</f>
        <v>19.6875</v>
      </c>
      <c r="H36" s="44" t="s">
        <v>53</v>
      </c>
      <c r="I36" s="45">
        <f>G33 * I33</f>
        <v>42240</v>
      </c>
      <c r="J36" s="45">
        <f>_xlfn.IFS(M33 = "Yes",G33 * (J33 + L33),M33 &lt;&gt; "Yes",G33 * (J33))</f>
        <v>30240</v>
      </c>
      <c r="K36" s="45">
        <f>I36 - J36</f>
        <v>12000</v>
      </c>
      <c r="L36" s="46">
        <f>K36 / I36</f>
        <v>0.28409090909090912</v>
      </c>
      <c r="M36" s="45">
        <f>I36 / 12</f>
        <v>3520</v>
      </c>
      <c r="N36" s="47">
        <f>K36 / 12</f>
        <v>1000</v>
      </c>
    </row>
    <row r="38" spans="2:14" x14ac:dyDescent="0.3">
      <c r="B38" s="66" t="s">
        <v>37</v>
      </c>
    </row>
    <row r="39" spans="2:14" x14ac:dyDescent="0.3">
      <c r="B39" s="267" t="s">
        <v>78</v>
      </c>
    </row>
    <row r="41" spans="2:14" x14ac:dyDescent="0.3">
      <c r="B41" s="66" t="s">
        <v>79</v>
      </c>
    </row>
    <row r="42" spans="2:14" x14ac:dyDescent="0.3">
      <c r="B42" s="267" t="s">
        <v>80</v>
      </c>
    </row>
    <row r="43" spans="2:14" x14ac:dyDescent="0.3">
      <c r="B43" s="267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59"/>
  <sheetViews>
    <sheetView topLeftCell="A355" zoomScale="85" zoomScaleNormal="85" workbookViewId="0">
      <selection activeCell="A368" sqref="A368"/>
    </sheetView>
  </sheetViews>
  <sheetFormatPr defaultColWidth="14.44140625" defaultRowHeight="15" customHeight="1" x14ac:dyDescent="0.3"/>
  <cols>
    <col min="1" max="1" width="14.33203125" customWidth="1"/>
    <col min="2" max="2" width="17.44140625" customWidth="1"/>
    <col min="3" max="3" width="17.6640625" customWidth="1"/>
    <col min="4" max="4" width="14.88671875" customWidth="1"/>
    <col min="5" max="5" width="13.44140625" customWidth="1"/>
    <col min="6" max="6" width="11.33203125" customWidth="1"/>
    <col min="7" max="7" width="13.44140625" customWidth="1"/>
    <col min="8" max="8" width="5.44140625" customWidth="1"/>
    <col min="9" max="12" width="12.88671875" customWidth="1"/>
    <col min="13" max="13" width="14.44140625" customWidth="1"/>
    <col min="14" max="14" width="23" customWidth="1"/>
    <col min="15" max="17" width="8.6640625" customWidth="1"/>
    <col min="18" max="18" width="10.33203125" bestFit="1" customWidth="1"/>
    <col min="19" max="19" width="14.6640625" bestFit="1" customWidth="1"/>
    <col min="20" max="26" width="8.6640625" customWidth="1"/>
  </cols>
  <sheetData>
    <row r="1" spans="1:14" ht="25.8" x14ac:dyDescent="0.3">
      <c r="A1" s="58" t="s">
        <v>82</v>
      </c>
    </row>
    <row r="2" spans="1:14" ht="15" customHeight="1" x14ac:dyDescent="0.3">
      <c r="A2" s="2" t="s">
        <v>18</v>
      </c>
    </row>
    <row r="3" spans="1:14" ht="15" customHeight="1" x14ac:dyDescent="0.3">
      <c r="A3" s="2"/>
    </row>
    <row r="4" spans="1:14" ht="15.75" customHeight="1" x14ac:dyDescent="0.3">
      <c r="I4" s="31"/>
      <c r="J4" s="31"/>
      <c r="M4" s="25"/>
      <c r="N4" s="32"/>
    </row>
    <row r="5" spans="1:14" ht="21" x14ac:dyDescent="0.4">
      <c r="B5" s="49" t="s">
        <v>83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1"/>
    </row>
    <row r="6" spans="1:14" ht="43.5" customHeight="1" x14ac:dyDescent="0.3">
      <c r="B6" s="33" t="s">
        <v>1</v>
      </c>
      <c r="C6" s="34" t="s">
        <v>3</v>
      </c>
      <c r="D6" s="34" t="s">
        <v>2</v>
      </c>
      <c r="E6" s="34" t="s">
        <v>4</v>
      </c>
      <c r="F6" s="34" t="s">
        <v>6</v>
      </c>
      <c r="G6" s="34" t="s">
        <v>5</v>
      </c>
      <c r="H6" s="34"/>
      <c r="I6" s="34" t="s">
        <v>19</v>
      </c>
      <c r="J6" s="34" t="s">
        <v>20</v>
      </c>
      <c r="K6" s="34" t="s">
        <v>21</v>
      </c>
      <c r="L6" s="35" t="s">
        <v>22</v>
      </c>
      <c r="M6" s="34" t="s">
        <v>23</v>
      </c>
      <c r="N6" s="36" t="s">
        <v>24</v>
      </c>
    </row>
    <row r="7" spans="1:14" ht="15.75" customHeight="1" x14ac:dyDescent="0.3">
      <c r="B7" s="55">
        <v>0</v>
      </c>
      <c r="C7" s="53">
        <v>0</v>
      </c>
      <c r="D7" s="53">
        <v>0</v>
      </c>
      <c r="E7" s="53">
        <v>0.05</v>
      </c>
      <c r="F7" s="53">
        <v>0.25</v>
      </c>
      <c r="G7" s="54">
        <v>1600</v>
      </c>
      <c r="H7" s="37"/>
      <c r="I7" s="56">
        <v>169</v>
      </c>
      <c r="J7" s="29">
        <f>F10</f>
        <v>147</v>
      </c>
      <c r="K7" s="29">
        <f>I7 - J7</f>
        <v>22</v>
      </c>
      <c r="L7" s="29">
        <f>1000 / (G7 / 12)</f>
        <v>7.4999999999999991</v>
      </c>
      <c r="M7" s="54" t="s">
        <v>32</v>
      </c>
      <c r="N7" s="38">
        <f>_xlfn.IFS(M7 = "Yes",K7 - L7,M7 = "No",K7)</f>
        <v>22</v>
      </c>
    </row>
    <row r="8" spans="1:14" ht="15.75" customHeight="1" x14ac:dyDescent="0.3">
      <c r="B8" s="39"/>
      <c r="C8" s="40"/>
      <c r="D8" s="40"/>
      <c r="E8" s="40"/>
      <c r="F8" s="40"/>
      <c r="G8" s="40"/>
      <c r="H8" s="40"/>
      <c r="I8" s="65"/>
      <c r="J8" s="40"/>
      <c r="K8" s="40"/>
      <c r="L8" s="40"/>
      <c r="M8" s="40"/>
      <c r="N8" s="41"/>
    </row>
    <row r="9" spans="1:14" ht="57.75" customHeight="1" x14ac:dyDescent="0.3">
      <c r="B9" s="33" t="s">
        <v>84</v>
      </c>
      <c r="C9" s="34" t="s">
        <v>11</v>
      </c>
      <c r="D9" s="34" t="s">
        <v>12</v>
      </c>
      <c r="E9" s="34" t="s">
        <v>13</v>
      </c>
      <c r="F9" s="34" t="s">
        <v>14</v>
      </c>
      <c r="G9" s="34" t="s">
        <v>15</v>
      </c>
      <c r="H9" s="34"/>
      <c r="I9" s="34" t="s">
        <v>26</v>
      </c>
      <c r="J9" s="34" t="s">
        <v>27</v>
      </c>
      <c r="K9" s="34" t="s">
        <v>28</v>
      </c>
      <c r="L9" s="30" t="s">
        <v>29</v>
      </c>
      <c r="M9" s="34" t="s">
        <v>30</v>
      </c>
      <c r="N9" s="36" t="s">
        <v>31</v>
      </c>
    </row>
    <row r="10" spans="1:14" ht="15.75" customHeight="1" x14ac:dyDescent="0.3">
      <c r="B10" s="52">
        <f>140*G7</f>
        <v>224000</v>
      </c>
      <c r="C10" s="42">
        <f>B10 / $G7</f>
        <v>140</v>
      </c>
      <c r="D10" s="43">
        <f>SUM($B7,$C7,$D7,$E7)</f>
        <v>0.05</v>
      </c>
      <c r="E10" s="42">
        <f>(B10 * D10) / $G7</f>
        <v>7</v>
      </c>
      <c r="F10" s="42">
        <f>C10 + E10</f>
        <v>147</v>
      </c>
      <c r="G10" s="42">
        <f>F10 * (1+$F7)</f>
        <v>183.75</v>
      </c>
      <c r="H10" s="44"/>
      <c r="I10" s="45">
        <f>G7 * I7</f>
        <v>270400</v>
      </c>
      <c r="J10" s="45">
        <f>_xlfn.IFS(M7 = "Yes",G7 * (J7 + L7),M7 &lt;&gt; "Yes",G7 * (J7))</f>
        <v>235200</v>
      </c>
      <c r="K10" s="45">
        <f>I10 - J10</f>
        <v>35200</v>
      </c>
      <c r="L10" s="46">
        <f>K10 / I10</f>
        <v>0.13017751479289941</v>
      </c>
      <c r="M10" s="45">
        <f>I10 / 12</f>
        <v>22533.333333333332</v>
      </c>
      <c r="N10" s="47">
        <f>K10 / 12</f>
        <v>2933.3333333333335</v>
      </c>
    </row>
    <row r="11" spans="1:14" ht="15.75" customHeight="1" x14ac:dyDescent="0.3"/>
    <row r="12" spans="1:14" ht="15.75" customHeight="1" x14ac:dyDescent="0.3"/>
    <row r="13" spans="1:14" ht="21" x14ac:dyDescent="0.4">
      <c r="B13" s="49" t="s">
        <v>85</v>
      </c>
      <c r="C13" s="50"/>
      <c r="D13" s="50" t="s">
        <v>53</v>
      </c>
      <c r="E13" s="50" t="s">
        <v>53</v>
      </c>
      <c r="F13" s="50" t="s">
        <v>53</v>
      </c>
      <c r="G13" s="50" t="s">
        <v>53</v>
      </c>
      <c r="H13" s="50" t="s">
        <v>53</v>
      </c>
      <c r="I13" s="50" t="s">
        <v>53</v>
      </c>
      <c r="J13" s="50" t="s">
        <v>53</v>
      </c>
      <c r="K13" s="50" t="s">
        <v>53</v>
      </c>
      <c r="L13" s="50" t="s">
        <v>53</v>
      </c>
      <c r="M13" s="50" t="s">
        <v>53</v>
      </c>
      <c r="N13" s="51" t="s">
        <v>53</v>
      </c>
    </row>
    <row r="14" spans="1:14" ht="43.2" x14ac:dyDescent="0.3">
      <c r="B14" s="33" t="s">
        <v>1</v>
      </c>
      <c r="C14" s="34" t="s">
        <v>3</v>
      </c>
      <c r="D14" s="34" t="s">
        <v>2</v>
      </c>
      <c r="E14" s="34" t="s">
        <v>4</v>
      </c>
      <c r="F14" s="34" t="s">
        <v>6</v>
      </c>
      <c r="G14" s="34" t="s">
        <v>5</v>
      </c>
      <c r="H14" s="34" t="s">
        <v>53</v>
      </c>
      <c r="I14" s="34" t="s">
        <v>19</v>
      </c>
      <c r="J14" s="34" t="s">
        <v>20</v>
      </c>
      <c r="K14" s="34" t="s">
        <v>21</v>
      </c>
      <c r="L14" s="35" t="s">
        <v>22</v>
      </c>
      <c r="M14" s="34" t="s">
        <v>23</v>
      </c>
      <c r="N14" s="36" t="s">
        <v>24</v>
      </c>
    </row>
    <row r="15" spans="1:14" ht="14.4" x14ac:dyDescent="0.3">
      <c r="B15" s="55">
        <v>0.05</v>
      </c>
      <c r="C15" s="53">
        <v>0.15</v>
      </c>
      <c r="D15" s="53">
        <v>0.12</v>
      </c>
      <c r="E15" s="53">
        <v>0.1</v>
      </c>
      <c r="F15" s="53">
        <v>0.25</v>
      </c>
      <c r="G15" s="54">
        <v>1880</v>
      </c>
      <c r="H15" s="37" t="s">
        <v>53</v>
      </c>
      <c r="I15" s="56">
        <v>150</v>
      </c>
      <c r="J15" s="29">
        <f>F18</f>
        <v>113.29787234042554</v>
      </c>
      <c r="K15" s="29">
        <v>49.45</v>
      </c>
      <c r="L15" s="29">
        <v>6.38</v>
      </c>
      <c r="M15" s="54" t="s">
        <v>32</v>
      </c>
      <c r="N15" s="38">
        <f>_xlfn.IFS(M15 = "Yes",K15 - L15,M15 = "No",K15)</f>
        <v>49.45</v>
      </c>
    </row>
    <row r="16" spans="1:14" ht="14.4" x14ac:dyDescent="0.3">
      <c r="B16" s="39" t="s">
        <v>53</v>
      </c>
      <c r="C16" s="40" t="s">
        <v>53</v>
      </c>
      <c r="D16" s="40" t="s">
        <v>53</v>
      </c>
      <c r="E16" s="40" t="s">
        <v>53</v>
      </c>
      <c r="F16" s="40" t="s">
        <v>53</v>
      </c>
      <c r="G16" s="40" t="s">
        <v>53</v>
      </c>
      <c r="H16" s="40" t="s">
        <v>53</v>
      </c>
      <c r="I16" s="40" t="s">
        <v>53</v>
      </c>
      <c r="J16" s="40" t="s">
        <v>53</v>
      </c>
      <c r="K16" s="40" t="s">
        <v>53</v>
      </c>
      <c r="L16" s="40" t="s">
        <v>53</v>
      </c>
      <c r="M16" s="40" t="s">
        <v>53</v>
      </c>
      <c r="N16" s="41" t="s">
        <v>53</v>
      </c>
    </row>
    <row r="17" spans="1:14" ht="43.2" x14ac:dyDescent="0.3">
      <c r="B17" s="33" t="s">
        <v>10</v>
      </c>
      <c r="C17" s="34" t="s">
        <v>11</v>
      </c>
      <c r="D17" s="34" t="s">
        <v>12</v>
      </c>
      <c r="E17" s="34" t="s">
        <v>13</v>
      </c>
      <c r="F17" s="34" t="s">
        <v>14</v>
      </c>
      <c r="G17" s="34" t="s">
        <v>15</v>
      </c>
      <c r="H17" s="34" t="s">
        <v>53</v>
      </c>
      <c r="I17" s="34" t="s">
        <v>26</v>
      </c>
      <c r="J17" s="34" t="s">
        <v>27</v>
      </c>
      <c r="K17" s="34" t="s">
        <v>28</v>
      </c>
      <c r="L17" s="30" t="s">
        <v>29</v>
      </c>
      <c r="M17" s="34" t="s">
        <v>30</v>
      </c>
      <c r="N17" s="36" t="s">
        <v>31</v>
      </c>
    </row>
    <row r="18" spans="1:14" ht="14.4" x14ac:dyDescent="0.3">
      <c r="B18" s="52">
        <v>150000</v>
      </c>
      <c r="C18" s="42">
        <f>B18 / $G15</f>
        <v>79.787234042553195</v>
      </c>
      <c r="D18" s="43">
        <f>SUM($B15,$C15,$D15,$E15)</f>
        <v>0.42000000000000004</v>
      </c>
      <c r="E18" s="42">
        <f>(B18 * D18) / $G15</f>
        <v>33.510638297872347</v>
      </c>
      <c r="F18" s="42">
        <f>C18 + E18</f>
        <v>113.29787234042554</v>
      </c>
      <c r="G18" s="42">
        <f>F18 * (1+$F15)</f>
        <v>141.62234042553192</v>
      </c>
      <c r="H18" s="44" t="s">
        <v>53</v>
      </c>
      <c r="I18" s="45">
        <f>G15 * I15</f>
        <v>282000</v>
      </c>
      <c r="J18" s="45">
        <f>_xlfn.IFS(M15 = "Yes",G15 * (J15 + L15),M15 &lt;&gt; "Yes",G15 * (J15))</f>
        <v>213000.00000000003</v>
      </c>
      <c r="K18" s="45">
        <f>I18 - J18</f>
        <v>68999.999999999971</v>
      </c>
      <c r="L18" s="46">
        <f>K18 / I18</f>
        <v>0.2446808510638297</v>
      </c>
      <c r="M18" s="45">
        <f>I18 / 12</f>
        <v>23500</v>
      </c>
      <c r="N18" s="47">
        <f>K18 / 12</f>
        <v>5749.9999999999973</v>
      </c>
    </row>
    <row r="19" spans="1:14" ht="14.4" x14ac:dyDescent="0.3"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</row>
    <row r="20" spans="1:14" ht="14.4" x14ac:dyDescent="0.3">
      <c r="A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</row>
    <row r="21" spans="1:14" ht="21" x14ac:dyDescent="0.4">
      <c r="B21" s="49" t="s">
        <v>86</v>
      </c>
      <c r="C21" s="50"/>
      <c r="D21" s="50" t="s">
        <v>53</v>
      </c>
      <c r="E21" s="50" t="s">
        <v>53</v>
      </c>
      <c r="F21" s="50" t="s">
        <v>53</v>
      </c>
      <c r="G21" s="50" t="s">
        <v>53</v>
      </c>
      <c r="H21" s="50" t="s">
        <v>53</v>
      </c>
      <c r="I21" s="50" t="s">
        <v>53</v>
      </c>
      <c r="J21" s="50" t="s">
        <v>53</v>
      </c>
      <c r="K21" s="50" t="s">
        <v>53</v>
      </c>
      <c r="L21" s="50" t="s">
        <v>53</v>
      </c>
      <c r="M21" s="50" t="s">
        <v>53</v>
      </c>
      <c r="N21" s="51" t="s">
        <v>53</v>
      </c>
    </row>
    <row r="22" spans="1:14" ht="43.2" x14ac:dyDescent="0.3">
      <c r="B22" s="33" t="s">
        <v>1</v>
      </c>
      <c r="C22" s="34" t="s">
        <v>3</v>
      </c>
      <c r="D22" s="34" t="s">
        <v>2</v>
      </c>
      <c r="E22" s="34" t="s">
        <v>4</v>
      </c>
      <c r="F22" s="34" t="s">
        <v>6</v>
      </c>
      <c r="G22" s="34" t="s">
        <v>5</v>
      </c>
      <c r="H22" s="34" t="s">
        <v>53</v>
      </c>
      <c r="I22" s="34" t="s">
        <v>19</v>
      </c>
      <c r="J22" s="34" t="s">
        <v>20</v>
      </c>
      <c r="K22" s="34" t="s">
        <v>21</v>
      </c>
      <c r="L22" s="35" t="s">
        <v>22</v>
      </c>
      <c r="M22" s="34" t="s">
        <v>23</v>
      </c>
      <c r="N22" s="36" t="s">
        <v>24</v>
      </c>
    </row>
    <row r="23" spans="1:14" ht="14.4" x14ac:dyDescent="0.3">
      <c r="B23" s="55">
        <v>0.13</v>
      </c>
      <c r="C23" s="53">
        <v>0.1</v>
      </c>
      <c r="D23" s="53">
        <v>0.12</v>
      </c>
      <c r="E23" s="53">
        <v>0.1</v>
      </c>
      <c r="F23" s="53">
        <v>0.25</v>
      </c>
      <c r="G23" s="54">
        <v>1880</v>
      </c>
      <c r="H23" s="37" t="s">
        <v>53</v>
      </c>
      <c r="I23" s="56">
        <v>159</v>
      </c>
      <c r="J23" s="29">
        <f>F26</f>
        <v>96.409574468085097</v>
      </c>
      <c r="K23" s="29">
        <v>52.59</v>
      </c>
      <c r="L23" s="29">
        <v>6.38</v>
      </c>
      <c r="M23" s="54" t="s">
        <v>87</v>
      </c>
      <c r="N23" s="38">
        <f>_xlfn.IFS(M23 = "Yes",K23 - L23,M23 = "No",K23)</f>
        <v>46.21</v>
      </c>
    </row>
    <row r="24" spans="1:14" ht="14.4" x14ac:dyDescent="0.3">
      <c r="B24" s="39" t="s">
        <v>53</v>
      </c>
      <c r="C24" s="40" t="s">
        <v>53</v>
      </c>
      <c r="D24" s="40" t="s">
        <v>53</v>
      </c>
      <c r="E24" s="40" t="s">
        <v>53</v>
      </c>
      <c r="F24" s="40" t="s">
        <v>53</v>
      </c>
      <c r="G24" s="40" t="s">
        <v>53</v>
      </c>
      <c r="H24" s="40" t="s">
        <v>53</v>
      </c>
      <c r="I24" s="40" t="s">
        <v>53</v>
      </c>
      <c r="J24" s="40" t="s">
        <v>53</v>
      </c>
      <c r="K24" s="40" t="s">
        <v>53</v>
      </c>
      <c r="L24" s="40" t="s">
        <v>53</v>
      </c>
      <c r="M24" s="40" t="s">
        <v>53</v>
      </c>
      <c r="N24" s="41" t="s">
        <v>53</v>
      </c>
    </row>
    <row r="25" spans="1:14" ht="43.2" x14ac:dyDescent="0.3">
      <c r="B25" s="33" t="s">
        <v>10</v>
      </c>
      <c r="C25" s="34" t="s">
        <v>11</v>
      </c>
      <c r="D25" s="34" t="s">
        <v>12</v>
      </c>
      <c r="E25" s="34" t="s">
        <v>13</v>
      </c>
      <c r="F25" s="34" t="s">
        <v>14</v>
      </c>
      <c r="G25" s="34" t="s">
        <v>15</v>
      </c>
      <c r="H25" s="34" t="s">
        <v>53</v>
      </c>
      <c r="I25" s="34" t="s">
        <v>26</v>
      </c>
      <c r="J25" s="34" t="s">
        <v>27</v>
      </c>
      <c r="K25" s="34" t="s">
        <v>28</v>
      </c>
      <c r="L25" s="30" t="s">
        <v>29</v>
      </c>
      <c r="M25" s="34" t="s">
        <v>30</v>
      </c>
      <c r="N25" s="36" t="s">
        <v>31</v>
      </c>
    </row>
    <row r="26" spans="1:14" ht="14.4" x14ac:dyDescent="0.3">
      <c r="B26" s="52">
        <v>125000</v>
      </c>
      <c r="C26" s="42">
        <f>B26 / $G23</f>
        <v>66.489361702127653</v>
      </c>
      <c r="D26" s="43">
        <f>SUM($B23,$C23,$D23,$E23)</f>
        <v>0.44999999999999996</v>
      </c>
      <c r="E26" s="42">
        <f>(B26 * D26) / $G23</f>
        <v>29.920212765957444</v>
      </c>
      <c r="F26" s="42">
        <f>C26 + E26</f>
        <v>96.409574468085097</v>
      </c>
      <c r="G26" s="42">
        <f>F26 * (1+$F23)</f>
        <v>120.51196808510637</v>
      </c>
      <c r="H26" s="44" t="s">
        <v>53</v>
      </c>
      <c r="I26" s="45">
        <f>G23 * I23</f>
        <v>298920</v>
      </c>
      <c r="J26" s="45">
        <f>_xlfn.IFS(M23 = "Yes",G23 * (J23 + L23),M23 &lt;&gt; "Yes",G23 * (J23))</f>
        <v>193244.39999999997</v>
      </c>
      <c r="K26" s="45">
        <f>I26 - J26</f>
        <v>105675.60000000003</v>
      </c>
      <c r="L26" s="46">
        <f>K26 / I26</f>
        <v>0.35352468887996802</v>
      </c>
      <c r="M26" s="45">
        <f>I26 / 12</f>
        <v>24910</v>
      </c>
      <c r="N26" s="47">
        <f>K26 / 12</f>
        <v>8806.3000000000029</v>
      </c>
    </row>
    <row r="27" spans="1:14" ht="15.75" customHeight="1" x14ac:dyDescent="0.3"/>
    <row r="28" spans="1:14" ht="14.4" x14ac:dyDescent="0.3"/>
    <row r="29" spans="1:14" ht="21" x14ac:dyDescent="0.4">
      <c r="B29" s="49" t="s">
        <v>88</v>
      </c>
      <c r="C29" s="60"/>
      <c r="D29" s="50" t="s">
        <v>53</v>
      </c>
      <c r="E29" s="50" t="s">
        <v>53</v>
      </c>
      <c r="F29" s="50" t="s">
        <v>53</v>
      </c>
      <c r="G29" s="50" t="s">
        <v>53</v>
      </c>
      <c r="H29" s="50" t="s">
        <v>53</v>
      </c>
      <c r="I29" s="50" t="s">
        <v>53</v>
      </c>
      <c r="J29" s="50" t="s">
        <v>53</v>
      </c>
      <c r="K29" s="50" t="s">
        <v>53</v>
      </c>
      <c r="L29" s="50" t="s">
        <v>53</v>
      </c>
      <c r="M29" s="50" t="s">
        <v>53</v>
      </c>
      <c r="N29" s="51" t="s">
        <v>53</v>
      </c>
    </row>
    <row r="30" spans="1:14" ht="43.2" x14ac:dyDescent="0.3">
      <c r="B30" s="33" t="s">
        <v>1</v>
      </c>
      <c r="C30" s="34" t="s">
        <v>3</v>
      </c>
      <c r="D30" s="34" t="s">
        <v>2</v>
      </c>
      <c r="E30" s="34" t="s">
        <v>4</v>
      </c>
      <c r="F30" s="34" t="s">
        <v>6</v>
      </c>
      <c r="G30" s="34" t="s">
        <v>5</v>
      </c>
      <c r="H30" s="34"/>
      <c r="I30" s="34" t="s">
        <v>19</v>
      </c>
      <c r="J30" s="34" t="s">
        <v>20</v>
      </c>
      <c r="K30" s="34" t="s">
        <v>21</v>
      </c>
      <c r="L30" s="35" t="s">
        <v>22</v>
      </c>
      <c r="M30" s="34" t="s">
        <v>23</v>
      </c>
      <c r="N30" s="36" t="s">
        <v>24</v>
      </c>
    </row>
    <row r="31" spans="1:14" ht="14.4" x14ac:dyDescent="0.3">
      <c r="B31" s="55">
        <v>0.13</v>
      </c>
      <c r="C31" s="59">
        <v>0.1</v>
      </c>
      <c r="D31" s="53">
        <v>0.12</v>
      </c>
      <c r="E31" s="53">
        <v>0.1</v>
      </c>
      <c r="F31" s="53">
        <v>0.25</v>
      </c>
      <c r="G31" s="54">
        <v>1880</v>
      </c>
      <c r="H31" s="37"/>
      <c r="I31" s="56">
        <v>160</v>
      </c>
      <c r="J31" s="29">
        <f>F34</f>
        <v>123.40425531914894</v>
      </c>
      <c r="K31" s="29">
        <f>I31 - J31</f>
        <v>36.595744680851055</v>
      </c>
      <c r="L31" s="29">
        <f>1000 / (G31 / 12)</f>
        <v>6.3829787234042561</v>
      </c>
      <c r="M31" s="54" t="s">
        <v>87</v>
      </c>
      <c r="N31" s="38">
        <f>_xlfn.IFS(M31 = "Yes",K31 - L31,M31 = "No",K31)</f>
        <v>30.212765957446798</v>
      </c>
    </row>
    <row r="32" spans="1:14" ht="14.4" x14ac:dyDescent="0.3">
      <c r="B32" s="39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1"/>
    </row>
    <row r="33" spans="1:14" ht="43.2" x14ac:dyDescent="0.3">
      <c r="B33" s="33" t="s">
        <v>10</v>
      </c>
      <c r="C33" s="34" t="s">
        <v>11</v>
      </c>
      <c r="D33" s="34" t="s">
        <v>12</v>
      </c>
      <c r="E33" s="34" t="s">
        <v>13</v>
      </c>
      <c r="F33" s="34" t="s">
        <v>14</v>
      </c>
      <c r="G33" s="34" t="s">
        <v>15</v>
      </c>
      <c r="H33" s="34"/>
      <c r="I33" s="34" t="s">
        <v>26</v>
      </c>
      <c r="J33" s="34" t="s">
        <v>27</v>
      </c>
      <c r="K33" s="34" t="s">
        <v>28</v>
      </c>
      <c r="L33" s="30" t="s">
        <v>29</v>
      </c>
      <c r="M33" s="34" t="s">
        <v>30</v>
      </c>
      <c r="N33" s="36" t="s">
        <v>31</v>
      </c>
    </row>
    <row r="34" spans="1:14" ht="14.4" x14ac:dyDescent="0.3">
      <c r="B34" s="52">
        <v>160000</v>
      </c>
      <c r="C34" s="42">
        <f>B34 / $G31</f>
        <v>85.106382978723403</v>
      </c>
      <c r="D34" s="43">
        <f>SUM($B31,$C31,$D31,$E31)</f>
        <v>0.44999999999999996</v>
      </c>
      <c r="E34" s="42">
        <f>(B34 * D34) / $G31</f>
        <v>38.297872340425535</v>
      </c>
      <c r="F34" s="42">
        <f>C34 + E34</f>
        <v>123.40425531914894</v>
      </c>
      <c r="G34" s="42">
        <f>F34 * (1+$F31)</f>
        <v>154.25531914893617</v>
      </c>
      <c r="H34" s="44"/>
      <c r="I34" s="45">
        <f>G31 * I31</f>
        <v>300800</v>
      </c>
      <c r="J34" s="45">
        <f>_xlfn.IFS(M31 = "Yes",G31 * (J31 + L31),M31 &lt;&gt; "Yes",G31 * (J31))</f>
        <v>244000</v>
      </c>
      <c r="K34" s="45">
        <f>I34 - J34</f>
        <v>56800</v>
      </c>
      <c r="L34" s="46">
        <f>K34 / I34</f>
        <v>0.18882978723404256</v>
      </c>
      <c r="M34" s="45">
        <f>I34 / 12</f>
        <v>25066.666666666668</v>
      </c>
      <c r="N34" s="47">
        <f>K34 / 12</f>
        <v>4733.333333333333</v>
      </c>
    </row>
    <row r="35" spans="1:14" ht="15.75" customHeight="1" x14ac:dyDescent="0.3"/>
    <row r="36" spans="1:14" ht="15.75" customHeight="1" x14ac:dyDescent="0.3"/>
    <row r="37" spans="1:14" ht="21" x14ac:dyDescent="0.4">
      <c r="B37" s="49" t="s">
        <v>89</v>
      </c>
      <c r="C37" s="50"/>
      <c r="D37" s="50" t="s">
        <v>53</v>
      </c>
      <c r="E37" s="50" t="s">
        <v>53</v>
      </c>
      <c r="F37" s="50" t="s">
        <v>53</v>
      </c>
      <c r="G37" s="50" t="s">
        <v>53</v>
      </c>
      <c r="H37" s="50" t="s">
        <v>53</v>
      </c>
      <c r="I37" s="50" t="s">
        <v>53</v>
      </c>
      <c r="J37" s="50" t="s">
        <v>53</v>
      </c>
      <c r="K37" s="50" t="s">
        <v>53</v>
      </c>
      <c r="L37" s="50" t="s">
        <v>53</v>
      </c>
      <c r="M37" s="50" t="s">
        <v>53</v>
      </c>
      <c r="N37" s="51" t="s">
        <v>53</v>
      </c>
    </row>
    <row r="38" spans="1:14" ht="43.2" x14ac:dyDescent="0.3">
      <c r="B38" s="33" t="s">
        <v>1</v>
      </c>
      <c r="C38" s="34" t="s">
        <v>3</v>
      </c>
      <c r="D38" s="34" t="s">
        <v>2</v>
      </c>
      <c r="E38" s="34" t="s">
        <v>4</v>
      </c>
      <c r="F38" s="34" t="s">
        <v>6</v>
      </c>
      <c r="G38" s="34" t="s">
        <v>5</v>
      </c>
      <c r="H38" s="34"/>
      <c r="I38" s="34" t="s">
        <v>19</v>
      </c>
      <c r="J38" s="34" t="s">
        <v>20</v>
      </c>
      <c r="K38" s="34" t="s">
        <v>21</v>
      </c>
      <c r="L38" s="35" t="s">
        <v>22</v>
      </c>
      <c r="M38" s="34" t="s">
        <v>23</v>
      </c>
      <c r="N38" s="36" t="s">
        <v>24</v>
      </c>
    </row>
    <row r="39" spans="1:14" ht="14.4" x14ac:dyDescent="0.3">
      <c r="B39" s="55">
        <v>0.13</v>
      </c>
      <c r="C39" s="59">
        <v>0.1</v>
      </c>
      <c r="D39" s="53">
        <v>0.12</v>
      </c>
      <c r="E39" s="53">
        <v>0.1</v>
      </c>
      <c r="F39" s="53">
        <v>0.25</v>
      </c>
      <c r="G39" s="54">
        <v>1880</v>
      </c>
      <c r="H39" s="37"/>
      <c r="I39" s="56">
        <v>155</v>
      </c>
      <c r="J39" s="29">
        <f>F42</f>
        <v>127.26063829787233</v>
      </c>
      <c r="K39" s="29">
        <f>I39 - J39</f>
        <v>27.739361702127667</v>
      </c>
      <c r="L39" s="29">
        <f>1000 / (G39 / 12)</f>
        <v>6.3829787234042561</v>
      </c>
      <c r="M39" s="54" t="s">
        <v>32</v>
      </c>
      <c r="N39" s="38">
        <f>_xlfn.IFS(M39 = "Yes",K39 - L39,M39 = "No",K39)</f>
        <v>27.739361702127667</v>
      </c>
    </row>
    <row r="40" spans="1:14" ht="14.4" x14ac:dyDescent="0.3">
      <c r="B40" s="39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1"/>
    </row>
    <row r="41" spans="1:14" ht="43.2" x14ac:dyDescent="0.3">
      <c r="A41" s="62"/>
      <c r="B41" s="33" t="s">
        <v>10</v>
      </c>
      <c r="C41" s="34" t="s">
        <v>11</v>
      </c>
      <c r="D41" s="34" t="s">
        <v>12</v>
      </c>
      <c r="E41" s="34" t="s">
        <v>13</v>
      </c>
      <c r="F41" s="34" t="s">
        <v>14</v>
      </c>
      <c r="G41" s="34" t="s">
        <v>15</v>
      </c>
      <c r="H41" s="34"/>
      <c r="I41" s="34" t="s">
        <v>26</v>
      </c>
      <c r="J41" s="34" t="s">
        <v>27</v>
      </c>
      <c r="K41" s="34" t="s">
        <v>28</v>
      </c>
      <c r="L41" s="30" t="s">
        <v>29</v>
      </c>
      <c r="M41" s="34" t="s">
        <v>30</v>
      </c>
      <c r="N41" s="36" t="s">
        <v>31</v>
      </c>
    </row>
    <row r="42" spans="1:14" ht="14.4" x14ac:dyDescent="0.3">
      <c r="A42" s="63"/>
      <c r="B42" s="52">
        <v>165000</v>
      </c>
      <c r="C42" s="42">
        <f>B42 / $G39</f>
        <v>87.765957446808514</v>
      </c>
      <c r="D42" s="43">
        <f>SUM($B39,$C39,$D39,$E39)</f>
        <v>0.44999999999999996</v>
      </c>
      <c r="E42" s="42">
        <f>(B42 * D42) / $G39</f>
        <v>39.494680851063819</v>
      </c>
      <c r="F42" s="42">
        <f>C42 + E42</f>
        <v>127.26063829787233</v>
      </c>
      <c r="G42" s="42">
        <f>F42 * (1+$F39)</f>
        <v>159.07579787234042</v>
      </c>
      <c r="H42" s="44"/>
      <c r="I42" s="45">
        <f>G39 * I39</f>
        <v>291400</v>
      </c>
      <c r="J42" s="45">
        <f>_xlfn.IFS(M39 = "Yes",G39 * (J39 + L39),M39 &lt;&gt; "Yes",G39 * (J39))</f>
        <v>239250</v>
      </c>
      <c r="K42" s="45">
        <f>I42 - J42</f>
        <v>52150</v>
      </c>
      <c r="L42" s="46">
        <f>K42 / I42</f>
        <v>0.17896362388469458</v>
      </c>
      <c r="M42" s="45">
        <f>I42 / 12</f>
        <v>24283.333333333332</v>
      </c>
      <c r="N42" s="47">
        <f>K42 / 12</f>
        <v>4345.833333333333</v>
      </c>
    </row>
    <row r="43" spans="1:14" ht="15.75" customHeight="1" x14ac:dyDescent="0.3"/>
    <row r="44" spans="1:14" ht="15.75" customHeight="1" x14ac:dyDescent="0.3"/>
    <row r="45" spans="1:14" ht="21" x14ac:dyDescent="0.4">
      <c r="B45" s="49" t="s">
        <v>90</v>
      </c>
      <c r="C45" s="50"/>
      <c r="D45" s="50" t="s">
        <v>53</v>
      </c>
      <c r="E45" s="50" t="s">
        <v>53</v>
      </c>
      <c r="F45" s="50" t="s">
        <v>53</v>
      </c>
      <c r="G45" s="50" t="s">
        <v>53</v>
      </c>
      <c r="H45" s="50" t="s">
        <v>53</v>
      </c>
      <c r="I45" s="50" t="s">
        <v>53</v>
      </c>
      <c r="J45" s="50" t="s">
        <v>53</v>
      </c>
      <c r="K45" s="50" t="s">
        <v>53</v>
      </c>
      <c r="L45" s="50" t="s">
        <v>53</v>
      </c>
      <c r="M45" s="50" t="s">
        <v>53</v>
      </c>
      <c r="N45" s="51" t="s">
        <v>53</v>
      </c>
    </row>
    <row r="46" spans="1:14" ht="43.2" x14ac:dyDescent="0.3">
      <c r="B46" s="33" t="s">
        <v>1</v>
      </c>
      <c r="C46" s="34" t="s">
        <v>3</v>
      </c>
      <c r="D46" s="34" t="s">
        <v>2</v>
      </c>
      <c r="E46" s="34" t="s">
        <v>4</v>
      </c>
      <c r="F46" s="34" t="s">
        <v>6</v>
      </c>
      <c r="G46" s="34" t="s">
        <v>5</v>
      </c>
      <c r="H46" s="34"/>
      <c r="I46" s="34" t="s">
        <v>19</v>
      </c>
      <c r="J46" s="34" t="s">
        <v>20</v>
      </c>
      <c r="K46" s="34" t="s">
        <v>21</v>
      </c>
      <c r="L46" s="35" t="s">
        <v>22</v>
      </c>
      <c r="M46" s="34" t="s">
        <v>23</v>
      </c>
      <c r="N46" s="36" t="s">
        <v>24</v>
      </c>
    </row>
    <row r="47" spans="1:14" ht="14.4" x14ac:dyDescent="0.3">
      <c r="B47" s="55">
        <v>0.05</v>
      </c>
      <c r="C47" s="55">
        <v>0.1</v>
      </c>
      <c r="D47" s="53">
        <v>0.12</v>
      </c>
      <c r="E47" s="53">
        <v>0.1</v>
      </c>
      <c r="F47" s="53">
        <v>0.25</v>
      </c>
      <c r="G47" s="54">
        <v>1880</v>
      </c>
      <c r="H47" s="37"/>
      <c r="I47" s="56">
        <v>145</v>
      </c>
      <c r="J47" s="29">
        <f>F50</f>
        <v>102.02127659574467</v>
      </c>
      <c r="K47" s="29">
        <f>I47 - J47</f>
        <v>42.978723404255334</v>
      </c>
      <c r="L47" s="29">
        <f>1000 / (G47 / 12)</f>
        <v>6.3829787234042561</v>
      </c>
      <c r="M47" s="54" t="s">
        <v>87</v>
      </c>
      <c r="N47" s="38">
        <f>_xlfn.IFS(M47 = "Yes",K47 - L47,M47 = "No",K47)</f>
        <v>36.595744680851077</v>
      </c>
    </row>
    <row r="48" spans="1:14" ht="14.4" x14ac:dyDescent="0.3">
      <c r="B48" s="39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1"/>
    </row>
    <row r="49" spans="2:15" ht="43.2" x14ac:dyDescent="0.3">
      <c r="B49" s="33" t="s">
        <v>10</v>
      </c>
      <c r="C49" s="34" t="s">
        <v>11</v>
      </c>
      <c r="D49" s="34" t="s">
        <v>12</v>
      </c>
      <c r="E49" s="34" t="s">
        <v>13</v>
      </c>
      <c r="F49" s="34" t="s">
        <v>14</v>
      </c>
      <c r="G49" s="34" t="s">
        <v>15</v>
      </c>
      <c r="H49" s="34"/>
      <c r="I49" s="34" t="s">
        <v>26</v>
      </c>
      <c r="J49" s="34" t="s">
        <v>27</v>
      </c>
      <c r="K49" s="34" t="s">
        <v>28</v>
      </c>
      <c r="L49" s="30" t="s">
        <v>29</v>
      </c>
      <c r="M49" s="34" t="s">
        <v>30</v>
      </c>
      <c r="N49" s="36" t="s">
        <v>31</v>
      </c>
    </row>
    <row r="50" spans="2:15" ht="14.4" x14ac:dyDescent="0.3">
      <c r="B50" s="52">
        <v>140000</v>
      </c>
      <c r="C50" s="42">
        <f>B50 / $G47</f>
        <v>74.468085106382972</v>
      </c>
      <c r="D50" s="43">
        <f>SUM($B47,$C47,$D47,$E47)</f>
        <v>0.37</v>
      </c>
      <c r="E50" s="42">
        <f>(B50 * D50) / $G47</f>
        <v>27.553191489361701</v>
      </c>
      <c r="F50" s="42">
        <f>C50 + E50</f>
        <v>102.02127659574467</v>
      </c>
      <c r="G50" s="42">
        <f>F50 * (1+$F47)</f>
        <v>127.52659574468083</v>
      </c>
      <c r="H50" s="44"/>
      <c r="I50" s="45">
        <f>G47 * I47</f>
        <v>272600</v>
      </c>
      <c r="J50" s="45">
        <f>_xlfn.IFS(M47 = "Yes",G47 * (J47 + L47),M47 &lt;&gt; "Yes",G47 * (J47))</f>
        <v>203799.99999999997</v>
      </c>
      <c r="K50" s="45">
        <f>I50 - J50</f>
        <v>68800.000000000029</v>
      </c>
      <c r="L50" s="46">
        <f>K50 / I50</f>
        <v>0.25238444607483501</v>
      </c>
      <c r="M50" s="45">
        <f>I50 / 12</f>
        <v>22716.666666666668</v>
      </c>
      <c r="N50" s="47">
        <f>K50 / 12</f>
        <v>5733.3333333333358</v>
      </c>
      <c r="O50" s="61"/>
    </row>
    <row r="51" spans="2:15" ht="15.75" customHeight="1" x14ac:dyDescent="0.3"/>
    <row r="52" spans="2:15" ht="15.75" customHeight="1" x14ac:dyDescent="0.3"/>
    <row r="53" spans="2:15" ht="21" x14ac:dyDescent="0.4">
      <c r="B53" s="49" t="s">
        <v>91</v>
      </c>
      <c r="C53" s="50"/>
      <c r="D53" s="50" t="s">
        <v>53</v>
      </c>
      <c r="E53" s="50" t="s">
        <v>53</v>
      </c>
      <c r="F53" s="50" t="s">
        <v>53</v>
      </c>
      <c r="G53" s="50" t="s">
        <v>53</v>
      </c>
      <c r="H53" s="50" t="s">
        <v>53</v>
      </c>
      <c r="I53" s="50" t="s">
        <v>53</v>
      </c>
      <c r="J53" s="50" t="s">
        <v>53</v>
      </c>
      <c r="K53" s="50" t="s">
        <v>53</v>
      </c>
      <c r="L53" s="50" t="s">
        <v>53</v>
      </c>
      <c r="M53" s="50" t="s">
        <v>53</v>
      </c>
      <c r="N53" s="51" t="s">
        <v>53</v>
      </c>
    </row>
    <row r="54" spans="2:15" ht="43.2" x14ac:dyDescent="0.3">
      <c r="B54" s="33" t="s">
        <v>1</v>
      </c>
      <c r="C54" s="34" t="s">
        <v>3</v>
      </c>
      <c r="D54" s="34" t="s">
        <v>2</v>
      </c>
      <c r="E54" s="34" t="s">
        <v>4</v>
      </c>
      <c r="F54" s="34" t="s">
        <v>6</v>
      </c>
      <c r="G54" s="34" t="s">
        <v>5</v>
      </c>
      <c r="H54" s="34"/>
      <c r="I54" s="34" t="s">
        <v>19</v>
      </c>
      <c r="J54" s="34" t="s">
        <v>20</v>
      </c>
      <c r="K54" s="34" t="s">
        <v>21</v>
      </c>
      <c r="L54" s="35" t="s">
        <v>22</v>
      </c>
      <c r="M54" s="34" t="s">
        <v>23</v>
      </c>
      <c r="N54" s="36" t="s">
        <v>24</v>
      </c>
    </row>
    <row r="55" spans="2:15" ht="14.4" x14ac:dyDescent="0.3">
      <c r="B55" s="55">
        <v>0.13</v>
      </c>
      <c r="C55" s="59">
        <v>0.1</v>
      </c>
      <c r="D55" s="53">
        <v>0.12</v>
      </c>
      <c r="E55" s="53">
        <v>0.1</v>
      </c>
      <c r="F55" s="53">
        <v>0.25</v>
      </c>
      <c r="G55" s="54">
        <v>1880</v>
      </c>
      <c r="H55" s="37"/>
      <c r="I55" s="56">
        <v>168</v>
      </c>
      <c r="J55" s="29">
        <f>F58</f>
        <v>131.11702127659572</v>
      </c>
      <c r="K55" s="29">
        <f>I55 - J55</f>
        <v>36.882978723404278</v>
      </c>
      <c r="L55" s="29">
        <f>1000 / (G55 / 12)</f>
        <v>6.3829787234042561</v>
      </c>
      <c r="M55" s="54" t="s">
        <v>87</v>
      </c>
      <c r="N55" s="38">
        <f>_xlfn.IFS(M55 = "Yes",K55 - L55,M55 = "No",K55)</f>
        <v>30.500000000000021</v>
      </c>
    </row>
    <row r="56" spans="2:15" ht="14.4" x14ac:dyDescent="0.3">
      <c r="B56" s="39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1"/>
    </row>
    <row r="57" spans="2:15" ht="43.2" x14ac:dyDescent="0.3">
      <c r="B57" s="33" t="s">
        <v>10</v>
      </c>
      <c r="C57" s="34" t="s">
        <v>11</v>
      </c>
      <c r="D57" s="34" t="s">
        <v>12</v>
      </c>
      <c r="E57" s="34" t="s">
        <v>13</v>
      </c>
      <c r="F57" s="34" t="s">
        <v>14</v>
      </c>
      <c r="G57" s="34" t="s">
        <v>15</v>
      </c>
      <c r="H57" s="34"/>
      <c r="I57" s="34" t="s">
        <v>26</v>
      </c>
      <c r="J57" s="34" t="s">
        <v>27</v>
      </c>
      <c r="K57" s="34" t="s">
        <v>28</v>
      </c>
      <c r="L57" s="30" t="s">
        <v>29</v>
      </c>
      <c r="M57" s="34" t="s">
        <v>30</v>
      </c>
      <c r="N57" s="36" t="s">
        <v>31</v>
      </c>
    </row>
    <row r="58" spans="2:15" ht="14.4" x14ac:dyDescent="0.3">
      <c r="B58" s="52">
        <v>170000</v>
      </c>
      <c r="C58" s="42">
        <f>B58 / $G55</f>
        <v>90.425531914893611</v>
      </c>
      <c r="D58" s="43">
        <f>SUM($B55,$C55,$D55,$E55)</f>
        <v>0.44999999999999996</v>
      </c>
      <c r="E58" s="42">
        <f>(B58 * D58) / $G55</f>
        <v>40.691489361702118</v>
      </c>
      <c r="F58" s="42">
        <f>C58 + E58</f>
        <v>131.11702127659572</v>
      </c>
      <c r="G58" s="42">
        <f>F58 * (1+$F55)</f>
        <v>163.89627659574467</v>
      </c>
      <c r="H58" s="44"/>
      <c r="I58" s="45">
        <f>G55 * I55</f>
        <v>315840</v>
      </c>
      <c r="J58" s="45">
        <f>_xlfn.IFS(M55 = "Yes",G55 * (J55 + L55),M55 &lt;&gt; "Yes",G55 * (J55))</f>
        <v>258499.99999999994</v>
      </c>
      <c r="K58" s="45">
        <f>I58 - J58</f>
        <v>57340.000000000058</v>
      </c>
      <c r="L58" s="46">
        <f>K58 / I58</f>
        <v>0.18154761904761924</v>
      </c>
      <c r="M58" s="45">
        <f>I58 / 12</f>
        <v>26320</v>
      </c>
      <c r="N58" s="47">
        <f>K58 / 12</f>
        <v>4778.3333333333385</v>
      </c>
    </row>
    <row r="59" spans="2:15" ht="15.75" customHeight="1" x14ac:dyDescent="0.3">
      <c r="B59" s="64"/>
    </row>
    <row r="60" spans="2:15" ht="15.75" customHeight="1" x14ac:dyDescent="0.3">
      <c r="B60" s="63"/>
    </row>
    <row r="61" spans="2:15" ht="21" x14ac:dyDescent="0.4">
      <c r="B61" s="49" t="s">
        <v>92</v>
      </c>
      <c r="C61" s="50"/>
      <c r="D61" s="50" t="s">
        <v>53</v>
      </c>
      <c r="E61" s="50" t="s">
        <v>53</v>
      </c>
      <c r="F61" s="50" t="s">
        <v>53</v>
      </c>
      <c r="G61" s="50" t="s">
        <v>53</v>
      </c>
      <c r="H61" s="50" t="s">
        <v>53</v>
      </c>
      <c r="I61" s="50" t="s">
        <v>53</v>
      </c>
      <c r="J61" s="50" t="s">
        <v>53</v>
      </c>
      <c r="K61" s="50" t="s">
        <v>53</v>
      </c>
      <c r="L61" s="50" t="s">
        <v>53</v>
      </c>
      <c r="M61" s="50" t="s">
        <v>53</v>
      </c>
      <c r="N61" s="51" t="s">
        <v>53</v>
      </c>
    </row>
    <row r="62" spans="2:15" ht="43.2" x14ac:dyDescent="0.3">
      <c r="B62" s="33" t="s">
        <v>1</v>
      </c>
      <c r="C62" s="34" t="s">
        <v>3</v>
      </c>
      <c r="D62" s="34" t="s">
        <v>2</v>
      </c>
      <c r="E62" s="34" t="s">
        <v>4</v>
      </c>
      <c r="F62" s="34" t="s">
        <v>6</v>
      </c>
      <c r="G62" s="34" t="s">
        <v>5</v>
      </c>
      <c r="H62" s="34"/>
      <c r="I62" s="34" t="s">
        <v>19</v>
      </c>
      <c r="J62" s="34" t="s">
        <v>20</v>
      </c>
      <c r="K62" s="34" t="s">
        <v>21</v>
      </c>
      <c r="L62" s="35" t="s">
        <v>22</v>
      </c>
      <c r="M62" s="34" t="s">
        <v>23</v>
      </c>
      <c r="N62" s="36" t="s">
        <v>24</v>
      </c>
    </row>
    <row r="63" spans="2:15" ht="14.4" x14ac:dyDescent="0.3">
      <c r="B63" s="55">
        <v>0.13</v>
      </c>
      <c r="C63" s="59">
        <v>0.05</v>
      </c>
      <c r="D63" s="53">
        <v>0.12</v>
      </c>
      <c r="E63" s="53">
        <v>0.1</v>
      </c>
      <c r="F63" s="53">
        <v>0.25</v>
      </c>
      <c r="G63" s="54">
        <v>1880</v>
      </c>
      <c r="H63" s="37"/>
      <c r="I63" s="56">
        <v>98</v>
      </c>
      <c r="J63" s="29">
        <f>F66</f>
        <v>74.468085106382972</v>
      </c>
      <c r="K63" s="29">
        <f>I63 - J63</f>
        <v>23.531914893617028</v>
      </c>
      <c r="L63" s="29">
        <f>1000 / (G63 / 12)</f>
        <v>6.3829787234042561</v>
      </c>
      <c r="M63" s="54" t="s">
        <v>32</v>
      </c>
      <c r="N63" s="38">
        <f>_xlfn.IFS(M63 = "Yes",K63 - L63,M63 = "No",K63)</f>
        <v>23.531914893617028</v>
      </c>
    </row>
    <row r="64" spans="2:15" ht="14.4" x14ac:dyDescent="0.3">
      <c r="B64" s="39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1"/>
    </row>
    <row r="65" spans="2:14" ht="43.2" x14ac:dyDescent="0.3">
      <c r="B65" s="33" t="s">
        <v>10</v>
      </c>
      <c r="C65" s="34" t="s">
        <v>11</v>
      </c>
      <c r="D65" s="34" t="s">
        <v>12</v>
      </c>
      <c r="E65" s="34" t="s">
        <v>13</v>
      </c>
      <c r="F65" s="34" t="s">
        <v>14</v>
      </c>
      <c r="G65" s="34" t="s">
        <v>15</v>
      </c>
      <c r="H65" s="34"/>
      <c r="I65" s="34" t="s">
        <v>26</v>
      </c>
      <c r="J65" s="34" t="s">
        <v>27</v>
      </c>
      <c r="K65" s="34" t="s">
        <v>28</v>
      </c>
      <c r="L65" s="30" t="s">
        <v>29</v>
      </c>
      <c r="M65" s="34" t="s">
        <v>30</v>
      </c>
      <c r="N65" s="36" t="s">
        <v>31</v>
      </c>
    </row>
    <row r="66" spans="2:14" ht="14.4" x14ac:dyDescent="0.3">
      <c r="B66" s="52">
        <v>100000</v>
      </c>
      <c r="C66" s="42">
        <f>B66 / $G63</f>
        <v>53.191489361702125</v>
      </c>
      <c r="D66" s="43">
        <f>SUM($B63,$C63,$D63,$E63)</f>
        <v>0.4</v>
      </c>
      <c r="E66" s="42">
        <f>(B66 * D66) / $G63</f>
        <v>21.276595744680851</v>
      </c>
      <c r="F66" s="42">
        <f>C66 + E66</f>
        <v>74.468085106382972</v>
      </c>
      <c r="G66" s="42">
        <f>F66 * (1+$F63)</f>
        <v>93.085106382978722</v>
      </c>
      <c r="H66" s="44"/>
      <c r="I66" s="45">
        <f>G63 * I63</f>
        <v>184240</v>
      </c>
      <c r="J66" s="45">
        <f>_xlfn.IFS(M63 = "Yes",G63 * (J63 + L63),M63 &lt;&gt; "Yes",G63 * (J63))</f>
        <v>140000</v>
      </c>
      <c r="K66" s="45">
        <f>I66 - J66</f>
        <v>44240</v>
      </c>
      <c r="L66" s="46">
        <f>K66 / I66</f>
        <v>0.24012158054711247</v>
      </c>
      <c r="M66" s="45">
        <f>I66 / 12</f>
        <v>15353.333333333334</v>
      </c>
      <c r="N66" s="47">
        <f>K66 / 12</f>
        <v>3686.6666666666665</v>
      </c>
    </row>
    <row r="67" spans="2:14" ht="15.75" customHeight="1" x14ac:dyDescent="0.3"/>
    <row r="68" spans="2:14" ht="15.75" customHeight="1" x14ac:dyDescent="0.3"/>
    <row r="69" spans="2:14" ht="21" x14ac:dyDescent="0.4">
      <c r="B69" s="49" t="s">
        <v>93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1"/>
    </row>
    <row r="70" spans="2:14" ht="43.2" x14ac:dyDescent="0.3">
      <c r="B70" s="33" t="s">
        <v>1</v>
      </c>
      <c r="C70" s="34" t="s">
        <v>3</v>
      </c>
      <c r="D70" s="34" t="s">
        <v>2</v>
      </c>
      <c r="E70" s="34" t="s">
        <v>4</v>
      </c>
      <c r="F70" s="34" t="s">
        <v>6</v>
      </c>
      <c r="G70" s="34" t="s">
        <v>5</v>
      </c>
      <c r="H70" s="34"/>
      <c r="I70" s="34" t="s">
        <v>19</v>
      </c>
      <c r="J70" s="34" t="s">
        <v>20</v>
      </c>
      <c r="K70" s="34" t="s">
        <v>21</v>
      </c>
      <c r="L70" s="35" t="s">
        <v>22</v>
      </c>
      <c r="M70" s="34" t="s">
        <v>23</v>
      </c>
      <c r="N70" s="36" t="s">
        <v>24</v>
      </c>
    </row>
    <row r="71" spans="2:14" ht="14.4" x14ac:dyDescent="0.3">
      <c r="B71" s="55">
        <v>0.03</v>
      </c>
      <c r="C71" s="53">
        <v>0.1</v>
      </c>
      <c r="D71" s="53">
        <v>0.12</v>
      </c>
      <c r="E71" s="53">
        <v>0.1</v>
      </c>
      <c r="F71" s="53">
        <v>0.25</v>
      </c>
      <c r="G71" s="54">
        <v>1880</v>
      </c>
      <c r="H71" s="37"/>
      <c r="I71" s="56">
        <v>147</v>
      </c>
      <c r="J71" s="29">
        <f>F74</f>
        <v>104.12234042553192</v>
      </c>
      <c r="K71" s="29">
        <f>I71 - J71</f>
        <v>42.877659574468083</v>
      </c>
      <c r="L71" s="29">
        <f>1000 / (G71 / 12)</f>
        <v>6.3829787234042561</v>
      </c>
      <c r="M71" s="54" t="s">
        <v>87</v>
      </c>
      <c r="N71" s="38">
        <f>_xlfn.IFS(M71 = "Yes",K71 - L71,M71 = "No",K71)</f>
        <v>36.494680851063826</v>
      </c>
    </row>
    <row r="72" spans="2:14" ht="14.4" x14ac:dyDescent="0.3">
      <c r="B72" s="39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1"/>
    </row>
    <row r="73" spans="2:14" ht="43.2" x14ac:dyDescent="0.3">
      <c r="B73" s="33" t="s">
        <v>10</v>
      </c>
      <c r="C73" s="34" t="s">
        <v>11</v>
      </c>
      <c r="D73" s="34" t="s">
        <v>12</v>
      </c>
      <c r="E73" s="34" t="s">
        <v>13</v>
      </c>
      <c r="F73" s="34" t="s">
        <v>14</v>
      </c>
      <c r="G73" s="34" t="s">
        <v>15</v>
      </c>
      <c r="H73" s="34"/>
      <c r="I73" s="34" t="s">
        <v>26</v>
      </c>
      <c r="J73" s="34" t="s">
        <v>27</v>
      </c>
      <c r="K73" s="34" t="s">
        <v>28</v>
      </c>
      <c r="L73" s="30" t="s">
        <v>29</v>
      </c>
      <c r="M73" s="34" t="s">
        <v>30</v>
      </c>
      <c r="N73" s="36" t="s">
        <v>31</v>
      </c>
    </row>
    <row r="74" spans="2:14" ht="14.4" x14ac:dyDescent="0.3">
      <c r="B74" s="52">
        <v>145000</v>
      </c>
      <c r="C74" s="42">
        <f>B74 / $G71</f>
        <v>77.127659574468083</v>
      </c>
      <c r="D74" s="43">
        <f>SUM($B71,$C71,$D71,$E71)</f>
        <v>0.35</v>
      </c>
      <c r="E74" s="42">
        <f>(B74 * D74) / $G71</f>
        <v>26.99468085106383</v>
      </c>
      <c r="F74" s="42">
        <f>C74 + E74</f>
        <v>104.12234042553192</v>
      </c>
      <c r="G74" s="42">
        <f>F74 * (1+$F71)</f>
        <v>130.15292553191489</v>
      </c>
      <c r="H74" s="44"/>
      <c r="I74" s="45">
        <f>G71 * I71</f>
        <v>276360</v>
      </c>
      <c r="J74" s="45">
        <f>_xlfn.IFS(M71 = "Yes",G71 * (J71 + L71),M71 &lt;&gt; "Yes",G71 * (J71))</f>
        <v>207750</v>
      </c>
      <c r="K74" s="45">
        <f>I74 - J74</f>
        <v>68610</v>
      </c>
      <c r="L74" s="46">
        <f>K74 / I74</f>
        <v>0.24826313504125055</v>
      </c>
      <c r="M74" s="45">
        <f>I74 / 12</f>
        <v>23030</v>
      </c>
      <c r="N74" s="47">
        <f>K74 / 12</f>
        <v>5717.5</v>
      </c>
    </row>
    <row r="75" spans="2:14" ht="15.75" customHeight="1" x14ac:dyDescent="0.3">
      <c r="B75" s="64"/>
    </row>
    <row r="76" spans="2:14" ht="15.75" customHeight="1" x14ac:dyDescent="0.3"/>
    <row r="77" spans="2:14" ht="21" x14ac:dyDescent="0.4">
      <c r="B77" s="49" t="s">
        <v>94</v>
      </c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1"/>
    </row>
    <row r="78" spans="2:14" ht="43.2" x14ac:dyDescent="0.3">
      <c r="B78" s="33" t="s">
        <v>1</v>
      </c>
      <c r="C78" s="34" t="s">
        <v>3</v>
      </c>
      <c r="D78" s="34" t="s">
        <v>2</v>
      </c>
      <c r="E78" s="34" t="s">
        <v>4</v>
      </c>
      <c r="F78" s="34" t="s">
        <v>6</v>
      </c>
      <c r="G78" s="34" t="s">
        <v>5</v>
      </c>
      <c r="H78" s="34"/>
      <c r="I78" s="34" t="s">
        <v>19</v>
      </c>
      <c r="J78" s="34" t="s">
        <v>20</v>
      </c>
      <c r="K78" s="34" t="s">
        <v>21</v>
      </c>
      <c r="L78" s="35" t="s">
        <v>22</v>
      </c>
      <c r="M78" s="34" t="s">
        <v>23</v>
      </c>
      <c r="N78" s="36" t="s">
        <v>24</v>
      </c>
    </row>
    <row r="79" spans="2:14" ht="14.4" x14ac:dyDescent="0.3">
      <c r="B79" s="55">
        <v>0.05</v>
      </c>
      <c r="C79" s="53">
        <v>0.1</v>
      </c>
      <c r="D79" s="53">
        <v>0.12</v>
      </c>
      <c r="E79" s="53">
        <v>0.1</v>
      </c>
      <c r="F79" s="53">
        <v>0.25</v>
      </c>
      <c r="G79" s="54">
        <v>1880</v>
      </c>
      <c r="H79" s="37"/>
      <c r="I79" s="56">
        <v>125</v>
      </c>
      <c r="J79" s="29">
        <f>F82</f>
        <v>91.090425531914889</v>
      </c>
      <c r="K79" s="29">
        <f>I79 - J79</f>
        <v>33.909574468085111</v>
      </c>
      <c r="L79" s="29">
        <f>1000 / (G79 / 12)</f>
        <v>6.3829787234042561</v>
      </c>
      <c r="M79" s="54" t="s">
        <v>87</v>
      </c>
      <c r="N79" s="38">
        <f>_xlfn.IFS(M79 = "Yes",K79 - L79,M79 = "No",K79)</f>
        <v>27.526595744680854</v>
      </c>
    </row>
    <row r="80" spans="2:14" ht="14.4" x14ac:dyDescent="0.3">
      <c r="B80" s="39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1"/>
    </row>
    <row r="81" spans="2:14" ht="43.2" x14ac:dyDescent="0.3">
      <c r="B81" s="33" t="s">
        <v>10</v>
      </c>
      <c r="C81" s="34" t="s">
        <v>11</v>
      </c>
      <c r="D81" s="34" t="s">
        <v>12</v>
      </c>
      <c r="E81" s="34" t="s">
        <v>13</v>
      </c>
      <c r="F81" s="34" t="s">
        <v>14</v>
      </c>
      <c r="G81" s="34" t="s">
        <v>15</v>
      </c>
      <c r="H81" s="34"/>
      <c r="I81" s="34" t="s">
        <v>26</v>
      </c>
      <c r="J81" s="34" t="s">
        <v>27</v>
      </c>
      <c r="K81" s="34" t="s">
        <v>28</v>
      </c>
      <c r="L81" s="30" t="s">
        <v>29</v>
      </c>
      <c r="M81" s="34" t="s">
        <v>30</v>
      </c>
      <c r="N81" s="36" t="s">
        <v>31</v>
      </c>
    </row>
    <row r="82" spans="2:14" ht="14.4" x14ac:dyDescent="0.3">
      <c r="B82" s="52">
        <v>125000</v>
      </c>
      <c r="C82" s="42">
        <f>B82 / $G79</f>
        <v>66.489361702127653</v>
      </c>
      <c r="D82" s="43">
        <f>SUM($B79,$C79,$D79,$E79)</f>
        <v>0.37</v>
      </c>
      <c r="E82" s="42">
        <f>(B82 * D82) / $G79</f>
        <v>24.601063829787233</v>
      </c>
      <c r="F82" s="42">
        <f>C82 + E82</f>
        <v>91.090425531914889</v>
      </c>
      <c r="G82" s="42">
        <f>F82 * (1+$F79)</f>
        <v>113.86303191489361</v>
      </c>
      <c r="H82" s="44"/>
      <c r="I82" s="45">
        <f>G79 * I79</f>
        <v>235000</v>
      </c>
      <c r="J82" s="45">
        <f>_xlfn.IFS(M79 = "Yes",G79 * (J79 + L79),M79 &lt;&gt; "Yes",G79 * (J79))</f>
        <v>183249.99999999997</v>
      </c>
      <c r="K82" s="45">
        <f>I82 - J82</f>
        <v>51750.000000000029</v>
      </c>
      <c r="L82" s="46">
        <f>K82 / I82</f>
        <v>0.22021276595744693</v>
      </c>
      <c r="M82" s="45">
        <f>I82 / 12</f>
        <v>19583.333333333332</v>
      </c>
      <c r="N82" s="47">
        <f>K82 / 12</f>
        <v>4312.5000000000027</v>
      </c>
    </row>
    <row r="83" spans="2:14" ht="15.75" customHeight="1" x14ac:dyDescent="0.3"/>
    <row r="84" spans="2:14" ht="15.75" customHeight="1" x14ac:dyDescent="0.3"/>
    <row r="85" spans="2:14" ht="21" x14ac:dyDescent="0.4">
      <c r="B85" s="49" t="s">
        <v>95</v>
      </c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1"/>
    </row>
    <row r="86" spans="2:14" ht="15.75" customHeight="1" x14ac:dyDescent="0.3">
      <c r="B86" s="33" t="s">
        <v>1</v>
      </c>
      <c r="C86" s="34" t="s">
        <v>3</v>
      </c>
      <c r="D86" s="34" t="s">
        <v>2</v>
      </c>
      <c r="E86" s="34" t="s">
        <v>4</v>
      </c>
      <c r="F86" s="34" t="s">
        <v>6</v>
      </c>
      <c r="G86" s="34" t="s">
        <v>5</v>
      </c>
      <c r="H86" s="34"/>
      <c r="I86" s="34" t="s">
        <v>19</v>
      </c>
      <c r="J86" s="34" t="s">
        <v>20</v>
      </c>
      <c r="K86" s="34" t="s">
        <v>21</v>
      </c>
      <c r="L86" s="35" t="s">
        <v>22</v>
      </c>
      <c r="M86" s="34" t="s">
        <v>23</v>
      </c>
      <c r="N86" s="36" t="s">
        <v>24</v>
      </c>
    </row>
    <row r="87" spans="2:14" ht="15.75" customHeight="1" x14ac:dyDescent="0.3">
      <c r="B87" s="55">
        <v>0.12</v>
      </c>
      <c r="C87" s="53">
        <v>0.1</v>
      </c>
      <c r="D87" s="53">
        <v>0.12</v>
      </c>
      <c r="E87" s="53">
        <v>0.1</v>
      </c>
      <c r="F87" s="53">
        <v>0.25</v>
      </c>
      <c r="G87" s="54">
        <v>1880</v>
      </c>
      <c r="H87" s="37"/>
      <c r="I87" s="56">
        <v>105</v>
      </c>
      <c r="J87" s="29">
        <f>F90</f>
        <v>88.085106382978722</v>
      </c>
      <c r="K87" s="29">
        <f>I87 - J87</f>
        <v>16.914893617021278</v>
      </c>
      <c r="L87" s="29">
        <f>1000 / (G87 / 12)</f>
        <v>6.3829787234042561</v>
      </c>
      <c r="M87" s="54" t="s">
        <v>32</v>
      </c>
      <c r="N87" s="38">
        <f>_xlfn.IFS(M87 = "Yes",K87 - L87,M87 = "No",K87)</f>
        <v>16.914893617021278</v>
      </c>
    </row>
    <row r="88" spans="2:14" ht="15.75" customHeight="1" x14ac:dyDescent="0.3">
      <c r="B88" s="39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1"/>
    </row>
    <row r="89" spans="2:14" ht="15.75" customHeight="1" x14ac:dyDescent="0.3">
      <c r="B89" s="33" t="s">
        <v>10</v>
      </c>
      <c r="C89" s="34" t="s">
        <v>11</v>
      </c>
      <c r="D89" s="34" t="s">
        <v>12</v>
      </c>
      <c r="E89" s="34" t="s">
        <v>13</v>
      </c>
      <c r="F89" s="34" t="s">
        <v>14</v>
      </c>
      <c r="G89" s="34" t="s">
        <v>15</v>
      </c>
      <c r="H89" s="34"/>
      <c r="I89" s="34" t="s">
        <v>26</v>
      </c>
      <c r="J89" s="34" t="s">
        <v>27</v>
      </c>
      <c r="K89" s="34" t="s">
        <v>28</v>
      </c>
      <c r="L89" s="30" t="s">
        <v>29</v>
      </c>
      <c r="M89" s="34" t="s">
        <v>30</v>
      </c>
      <c r="N89" s="36" t="s">
        <v>31</v>
      </c>
    </row>
    <row r="90" spans="2:14" ht="15.75" customHeight="1" x14ac:dyDescent="0.3">
      <c r="B90" s="52">
        <v>115000</v>
      </c>
      <c r="C90" s="42">
        <f>B90 / $G87</f>
        <v>61.170212765957444</v>
      </c>
      <c r="D90" s="43">
        <f>SUM($B87,$C87,$D87,$E87)</f>
        <v>0.43999999999999995</v>
      </c>
      <c r="E90" s="42">
        <f>(B90 * D90) / $G87</f>
        <v>26.914893617021274</v>
      </c>
      <c r="F90" s="42">
        <f>C90 + E90</f>
        <v>88.085106382978722</v>
      </c>
      <c r="G90" s="42">
        <f>F90 * (1+$F87)</f>
        <v>110.1063829787234</v>
      </c>
      <c r="H90" s="44"/>
      <c r="I90" s="45">
        <f>G87 * I87</f>
        <v>197400</v>
      </c>
      <c r="J90" s="45">
        <f>_xlfn.IFS(M87 = "Yes",G87 * (J87 + L87),M87 &lt;&gt; "Yes",G87 * (J87))</f>
        <v>165600</v>
      </c>
      <c r="K90" s="45">
        <f>I90 - J90</f>
        <v>31800</v>
      </c>
      <c r="L90" s="46">
        <f>K90 / I90</f>
        <v>0.16109422492401215</v>
      </c>
      <c r="M90" s="45">
        <f>I90 / 12</f>
        <v>16450</v>
      </c>
      <c r="N90" s="47">
        <f>K90 / 12</f>
        <v>2650</v>
      </c>
    </row>
    <row r="91" spans="2:14" ht="15.75" customHeight="1" x14ac:dyDescent="0.3"/>
    <row r="92" spans="2:14" ht="15.75" customHeight="1" x14ac:dyDescent="0.3"/>
    <row r="93" spans="2:14" ht="21" x14ac:dyDescent="0.4">
      <c r="B93" s="49" t="s">
        <v>96</v>
      </c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1"/>
    </row>
    <row r="94" spans="2:14" ht="43.2" x14ac:dyDescent="0.3">
      <c r="B94" s="33" t="s">
        <v>1</v>
      </c>
      <c r="C94" s="34" t="s">
        <v>3</v>
      </c>
      <c r="D94" s="34" t="s">
        <v>2</v>
      </c>
      <c r="E94" s="34" t="s">
        <v>4</v>
      </c>
      <c r="F94" s="34" t="s">
        <v>6</v>
      </c>
      <c r="G94" s="34" t="s">
        <v>5</v>
      </c>
      <c r="H94" s="34"/>
      <c r="I94" s="34" t="s">
        <v>19</v>
      </c>
      <c r="J94" s="34" t="s">
        <v>20</v>
      </c>
      <c r="K94" s="34" t="s">
        <v>21</v>
      </c>
      <c r="L94" s="35" t="s">
        <v>22</v>
      </c>
      <c r="M94" s="34" t="s">
        <v>23</v>
      </c>
      <c r="N94" s="36" t="s">
        <v>24</v>
      </c>
    </row>
    <row r="95" spans="2:14" ht="14.4" x14ac:dyDescent="0.3">
      <c r="B95" s="55">
        <v>0.13</v>
      </c>
      <c r="C95" s="53">
        <v>0.1</v>
      </c>
      <c r="D95" s="53">
        <v>0.12</v>
      </c>
      <c r="E95" s="53">
        <v>0.1</v>
      </c>
      <c r="F95" s="53">
        <v>0.25</v>
      </c>
      <c r="G95" s="54">
        <v>1880</v>
      </c>
      <c r="H95" s="37"/>
      <c r="I95" s="56">
        <v>100</v>
      </c>
      <c r="J95" s="29">
        <f>F98</f>
        <v>88.696808510638292</v>
      </c>
      <c r="K95" s="29">
        <f>I95 - J95</f>
        <v>11.303191489361708</v>
      </c>
      <c r="L95" s="29">
        <f>1000 / (G95 / 12)</f>
        <v>6.3829787234042561</v>
      </c>
      <c r="M95" s="54" t="s">
        <v>87</v>
      </c>
      <c r="N95" s="38">
        <f>_xlfn.IFS(M95 = "Yes",K95 - L95,M95 = "No",K95)</f>
        <v>4.9202127659574524</v>
      </c>
    </row>
    <row r="96" spans="2:14" ht="14.4" x14ac:dyDescent="0.3">
      <c r="B96" s="39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1"/>
    </row>
    <row r="97" spans="2:14" ht="43.2" x14ac:dyDescent="0.3">
      <c r="B97" s="33" t="s">
        <v>10</v>
      </c>
      <c r="C97" s="34" t="s">
        <v>11</v>
      </c>
      <c r="D97" s="34" t="s">
        <v>12</v>
      </c>
      <c r="E97" s="34" t="s">
        <v>13</v>
      </c>
      <c r="F97" s="34" t="s">
        <v>14</v>
      </c>
      <c r="G97" s="34" t="s">
        <v>15</v>
      </c>
      <c r="H97" s="34"/>
      <c r="I97" s="34" t="s">
        <v>26</v>
      </c>
      <c r="J97" s="34" t="s">
        <v>27</v>
      </c>
      <c r="K97" s="34" t="s">
        <v>28</v>
      </c>
      <c r="L97" s="30" t="s">
        <v>29</v>
      </c>
      <c r="M97" s="34" t="s">
        <v>30</v>
      </c>
      <c r="N97" s="36" t="s">
        <v>31</v>
      </c>
    </row>
    <row r="98" spans="2:14" ht="14.4" x14ac:dyDescent="0.3">
      <c r="B98" s="52">
        <v>115000</v>
      </c>
      <c r="C98" s="42">
        <f>B98 / $G95</f>
        <v>61.170212765957444</v>
      </c>
      <c r="D98" s="43">
        <f>SUM($B95,$C95,$D95,$E95)</f>
        <v>0.44999999999999996</v>
      </c>
      <c r="E98" s="42">
        <f>(B98 * D98) / $G95</f>
        <v>27.526595744680847</v>
      </c>
      <c r="F98" s="42">
        <f>C98 + E98</f>
        <v>88.696808510638292</v>
      </c>
      <c r="G98" s="42">
        <f>F98 * (1+$F95)</f>
        <v>110.87101063829786</v>
      </c>
      <c r="H98" s="44"/>
      <c r="I98" s="45">
        <f>G95 * I95</f>
        <v>188000</v>
      </c>
      <c r="J98" s="45">
        <f>_xlfn.IFS(M95 = "Yes",G95 * (J95 + L95),M95 &lt;&gt; "Yes",G95 * (J95))</f>
        <v>178749.99999999997</v>
      </c>
      <c r="K98" s="45">
        <f>I98 - J98</f>
        <v>9250.0000000000291</v>
      </c>
      <c r="L98" s="46">
        <f>K98 / I98</f>
        <v>4.9202127659574622E-2</v>
      </c>
      <c r="M98" s="45">
        <f>I98 / 12</f>
        <v>15666.666666666666</v>
      </c>
      <c r="N98" s="47">
        <f>K98 / 12</f>
        <v>770.83333333333576</v>
      </c>
    </row>
    <row r="99" spans="2:14" ht="15.75" customHeight="1" x14ac:dyDescent="0.3"/>
    <row r="100" spans="2:14" ht="21" x14ac:dyDescent="0.4">
      <c r="B100" s="49" t="s">
        <v>97</v>
      </c>
      <c r="C100" s="50"/>
      <c r="D100" s="50" t="s">
        <v>53</v>
      </c>
      <c r="E100" s="50" t="s">
        <v>53</v>
      </c>
      <c r="F100" s="50" t="s">
        <v>53</v>
      </c>
      <c r="G100" s="50" t="s">
        <v>53</v>
      </c>
      <c r="H100" s="50" t="s">
        <v>53</v>
      </c>
      <c r="I100" s="50" t="s">
        <v>53</v>
      </c>
      <c r="J100" s="50" t="s">
        <v>53</v>
      </c>
      <c r="K100" s="50" t="s">
        <v>53</v>
      </c>
      <c r="L100" s="50" t="s">
        <v>53</v>
      </c>
      <c r="M100" s="50" t="s">
        <v>53</v>
      </c>
      <c r="N100" s="51" t="s">
        <v>53</v>
      </c>
    </row>
    <row r="101" spans="2:14" ht="43.2" x14ac:dyDescent="0.3">
      <c r="B101" s="33" t="s">
        <v>1</v>
      </c>
      <c r="C101" s="34" t="s">
        <v>3</v>
      </c>
      <c r="D101" s="34" t="s">
        <v>2</v>
      </c>
      <c r="E101" s="34" t="s">
        <v>4</v>
      </c>
      <c r="F101" s="34" t="s">
        <v>6</v>
      </c>
      <c r="G101" s="34" t="s">
        <v>5</v>
      </c>
      <c r="H101" s="34"/>
      <c r="I101" s="34" t="s">
        <v>19</v>
      </c>
      <c r="J101" s="34" t="s">
        <v>20</v>
      </c>
      <c r="K101" s="34" t="s">
        <v>21</v>
      </c>
      <c r="L101" s="35" t="s">
        <v>22</v>
      </c>
      <c r="M101" s="34" t="s">
        <v>23</v>
      </c>
      <c r="N101" s="36" t="s">
        <v>24</v>
      </c>
    </row>
    <row r="102" spans="2:14" ht="14.4" x14ac:dyDescent="0.3">
      <c r="B102" s="55">
        <v>0.13</v>
      </c>
      <c r="C102" s="59">
        <v>0.1</v>
      </c>
      <c r="D102" s="53">
        <v>0.12</v>
      </c>
      <c r="E102" s="53">
        <v>0.1</v>
      </c>
      <c r="F102" s="53">
        <v>0.25</v>
      </c>
      <c r="G102" s="54">
        <v>1880</v>
      </c>
      <c r="H102" s="37"/>
      <c r="I102" s="56">
        <v>100</v>
      </c>
      <c r="J102" s="29">
        <f>F105</f>
        <v>77.127659574468083</v>
      </c>
      <c r="K102" s="29">
        <f>I102 - J102</f>
        <v>22.872340425531917</v>
      </c>
      <c r="L102" s="29">
        <f>1000 / (G102 / 12)</f>
        <v>6.3829787234042561</v>
      </c>
      <c r="M102" s="54" t="s">
        <v>87</v>
      </c>
      <c r="N102" s="38">
        <f>_xlfn.IFS(M102 = "Yes",K102 - L102,M102 = "No",K102)</f>
        <v>16.48936170212766</v>
      </c>
    </row>
    <row r="103" spans="2:14" ht="14.4" x14ac:dyDescent="0.3">
      <c r="B103" s="39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1"/>
    </row>
    <row r="104" spans="2:14" ht="43.2" x14ac:dyDescent="0.3">
      <c r="B104" s="33" t="s">
        <v>10</v>
      </c>
      <c r="C104" s="34" t="s">
        <v>11</v>
      </c>
      <c r="D104" s="34" t="s">
        <v>12</v>
      </c>
      <c r="E104" s="34" t="s">
        <v>13</v>
      </c>
      <c r="F104" s="34" t="s">
        <v>14</v>
      </c>
      <c r="G104" s="34" t="s">
        <v>15</v>
      </c>
      <c r="H104" s="34"/>
      <c r="I104" s="34" t="s">
        <v>26</v>
      </c>
      <c r="J104" s="34" t="s">
        <v>27</v>
      </c>
      <c r="K104" s="34" t="s">
        <v>28</v>
      </c>
      <c r="L104" s="30" t="s">
        <v>29</v>
      </c>
      <c r="M104" s="34" t="s">
        <v>30</v>
      </c>
      <c r="N104" s="36" t="s">
        <v>31</v>
      </c>
    </row>
    <row r="105" spans="2:14" ht="14.4" x14ac:dyDescent="0.3">
      <c r="B105" s="52">
        <v>100000</v>
      </c>
      <c r="C105" s="42">
        <f>B105 / $G102</f>
        <v>53.191489361702125</v>
      </c>
      <c r="D105" s="43">
        <f>SUM($B102,$C102,$D102,$E102)</f>
        <v>0.44999999999999996</v>
      </c>
      <c r="E105" s="42">
        <f>(B105 * D105) / $G102</f>
        <v>23.936170212765955</v>
      </c>
      <c r="F105" s="42">
        <f>C105 + E105</f>
        <v>77.127659574468083</v>
      </c>
      <c r="G105" s="42">
        <f>F105 * (1+$F102)</f>
        <v>96.409574468085111</v>
      </c>
      <c r="H105" s="44"/>
      <c r="I105" s="45">
        <f>G102 * I102</f>
        <v>188000</v>
      </c>
      <c r="J105" s="45">
        <f>_xlfn.IFS(M102 = "Yes",G102 * (J102 + L102),M102 &lt;&gt; "Yes",G102 * (J102))</f>
        <v>157000</v>
      </c>
      <c r="K105" s="45">
        <f>I105 - J105</f>
        <v>31000</v>
      </c>
      <c r="L105" s="46">
        <f>K105 / I105</f>
        <v>0.16489361702127658</v>
      </c>
      <c r="M105" s="45">
        <f>I105 / 12</f>
        <v>15666.666666666666</v>
      </c>
      <c r="N105" s="47">
        <f>K105 / 12</f>
        <v>2583.3333333333335</v>
      </c>
    </row>
    <row r="106" spans="2:14" ht="15.75" customHeight="1" x14ac:dyDescent="0.3"/>
    <row r="107" spans="2:14" ht="15.75" customHeight="1" x14ac:dyDescent="0.3"/>
    <row r="108" spans="2:14" ht="21" x14ac:dyDescent="0.4">
      <c r="B108" s="275" t="s">
        <v>98</v>
      </c>
      <c r="C108" s="276"/>
      <c r="D108" s="276"/>
      <c r="E108" s="276"/>
      <c r="F108" s="276"/>
      <c r="G108" s="276"/>
      <c r="H108" s="276"/>
      <c r="I108" s="276"/>
      <c r="J108" s="276"/>
      <c r="K108" s="50" t="s">
        <v>53</v>
      </c>
      <c r="L108" s="50" t="s">
        <v>53</v>
      </c>
      <c r="M108" s="50" t="s">
        <v>53</v>
      </c>
      <c r="N108" s="51" t="s">
        <v>53</v>
      </c>
    </row>
    <row r="109" spans="2:14" ht="17.25" customHeight="1" x14ac:dyDescent="0.3">
      <c r="B109" s="33" t="s">
        <v>1</v>
      </c>
      <c r="C109" s="34" t="s">
        <v>3</v>
      </c>
      <c r="D109" s="34" t="s">
        <v>2</v>
      </c>
      <c r="E109" s="34" t="s">
        <v>4</v>
      </c>
      <c r="F109" s="34" t="s">
        <v>6</v>
      </c>
      <c r="G109" s="34" t="s">
        <v>5</v>
      </c>
      <c r="H109" s="34"/>
      <c r="I109" s="34" t="s">
        <v>19</v>
      </c>
      <c r="J109" s="34" t="s">
        <v>20</v>
      </c>
      <c r="K109" s="34" t="s">
        <v>21</v>
      </c>
      <c r="L109" s="35" t="s">
        <v>22</v>
      </c>
      <c r="M109" s="34" t="s">
        <v>23</v>
      </c>
      <c r="N109" s="36" t="s">
        <v>24</v>
      </c>
    </row>
    <row r="110" spans="2:14" ht="17.25" customHeight="1" x14ac:dyDescent="0.3">
      <c r="B110" s="55">
        <v>0.13</v>
      </c>
      <c r="C110" s="59">
        <v>0.1</v>
      </c>
      <c r="D110" s="53">
        <v>0.12</v>
      </c>
      <c r="E110" s="53">
        <v>0.1</v>
      </c>
      <c r="F110" s="53">
        <v>0.25</v>
      </c>
      <c r="G110" s="54">
        <v>1880</v>
      </c>
      <c r="H110" s="37"/>
      <c r="I110" s="56">
        <v>145</v>
      </c>
      <c r="J110" s="29">
        <f>F113</f>
        <v>106.43617021276594</v>
      </c>
      <c r="K110" s="29">
        <f>I110 - J110</f>
        <v>38.563829787234056</v>
      </c>
      <c r="L110" s="29">
        <f>1000 / (G110 / 12)</f>
        <v>6.3829787234042561</v>
      </c>
      <c r="M110" s="54" t="s">
        <v>87</v>
      </c>
      <c r="N110" s="38">
        <f>_xlfn.IFS(M110 = "Yes",K110 - L110,M110 = "No",K110)</f>
        <v>32.180851063829799</v>
      </c>
    </row>
    <row r="111" spans="2:14" ht="17.25" customHeight="1" x14ac:dyDescent="0.3">
      <c r="B111" s="39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1"/>
    </row>
    <row r="112" spans="2:14" ht="17.25" customHeight="1" x14ac:dyDescent="0.3">
      <c r="B112" s="33" t="s">
        <v>10</v>
      </c>
      <c r="C112" s="34" t="s">
        <v>11</v>
      </c>
      <c r="D112" s="34" t="s">
        <v>12</v>
      </c>
      <c r="E112" s="34" t="s">
        <v>13</v>
      </c>
      <c r="F112" s="34" t="s">
        <v>14</v>
      </c>
      <c r="G112" s="34" t="s">
        <v>15</v>
      </c>
      <c r="H112" s="34"/>
      <c r="I112" s="34" t="s">
        <v>26</v>
      </c>
      <c r="J112" s="34" t="s">
        <v>27</v>
      </c>
      <c r="K112" s="34" t="s">
        <v>28</v>
      </c>
      <c r="L112" s="30" t="s">
        <v>29</v>
      </c>
      <c r="M112" s="34" t="s">
        <v>30</v>
      </c>
      <c r="N112" s="36" t="s">
        <v>31</v>
      </c>
    </row>
    <row r="113" spans="2:14" ht="17.25" customHeight="1" x14ac:dyDescent="0.3">
      <c r="B113" s="52">
        <v>138000</v>
      </c>
      <c r="C113" s="42">
        <f>B113 / $G110</f>
        <v>73.40425531914893</v>
      </c>
      <c r="D113" s="43">
        <f>SUM($B110,$C110,$D110,$E110)</f>
        <v>0.44999999999999996</v>
      </c>
      <c r="E113" s="42">
        <f>(B113 * D113) / $G110</f>
        <v>33.031914893617021</v>
      </c>
      <c r="F113" s="42">
        <f>C113 + E113</f>
        <v>106.43617021276594</v>
      </c>
      <c r="G113" s="42">
        <f>F113 * (1+$F110)</f>
        <v>133.04521276595744</v>
      </c>
      <c r="H113" s="44"/>
      <c r="I113" s="45">
        <f>G110 * I110</f>
        <v>272600</v>
      </c>
      <c r="J113" s="45">
        <f>_xlfn.IFS(M110 = "Yes",G110 * (J110 + L110),M110 &lt;&gt; "Yes",G110 * (J110))</f>
        <v>212099.99999999997</v>
      </c>
      <c r="K113" s="45">
        <f>I113 - J113</f>
        <v>60500.000000000029</v>
      </c>
      <c r="L113" s="46">
        <f>K113 / I113</f>
        <v>0.22193690388848139</v>
      </c>
      <c r="M113" s="45">
        <f>I113 / 12</f>
        <v>22716.666666666668</v>
      </c>
      <c r="N113" s="47">
        <f>K113 / 12</f>
        <v>5041.6666666666688</v>
      </c>
    </row>
    <row r="114" spans="2:14" ht="15.75" customHeight="1" x14ac:dyDescent="0.3"/>
    <row r="115" spans="2:14" ht="21" x14ac:dyDescent="0.4">
      <c r="B115" s="275" t="s">
        <v>99</v>
      </c>
      <c r="C115" s="276"/>
      <c r="D115" s="276"/>
      <c r="E115" s="276"/>
      <c r="F115" s="276"/>
      <c r="G115" s="276"/>
      <c r="H115" s="276"/>
      <c r="I115" s="276"/>
      <c r="J115" s="276"/>
      <c r="K115" s="50" t="s">
        <v>53</v>
      </c>
      <c r="L115" s="50" t="s">
        <v>53</v>
      </c>
      <c r="M115" s="50" t="s">
        <v>53</v>
      </c>
      <c r="N115" s="51" t="s">
        <v>53</v>
      </c>
    </row>
    <row r="116" spans="2:14" ht="15.75" customHeight="1" x14ac:dyDescent="0.3">
      <c r="B116" s="33" t="s">
        <v>1</v>
      </c>
      <c r="C116" s="34" t="s">
        <v>3</v>
      </c>
      <c r="D116" s="34" t="s">
        <v>2</v>
      </c>
      <c r="E116" s="34" t="s">
        <v>4</v>
      </c>
      <c r="F116" s="34" t="s">
        <v>6</v>
      </c>
      <c r="G116" s="34" t="s">
        <v>5</v>
      </c>
      <c r="H116" s="34"/>
      <c r="I116" s="34" t="s">
        <v>19</v>
      </c>
      <c r="J116" s="34" t="s">
        <v>20</v>
      </c>
      <c r="K116" s="34" t="s">
        <v>21</v>
      </c>
      <c r="L116" s="35" t="s">
        <v>22</v>
      </c>
      <c r="M116" s="34" t="s">
        <v>23</v>
      </c>
      <c r="N116" s="36" t="s">
        <v>24</v>
      </c>
    </row>
    <row r="117" spans="2:14" ht="15.75" customHeight="1" x14ac:dyDescent="0.3">
      <c r="B117" s="55">
        <v>0.13</v>
      </c>
      <c r="C117" s="69">
        <v>2.5000000000000001E-2</v>
      </c>
      <c r="D117" s="53">
        <v>0.12</v>
      </c>
      <c r="E117" s="53">
        <v>0.1</v>
      </c>
      <c r="F117" s="53">
        <v>0.25</v>
      </c>
      <c r="G117" s="70">
        <f>1880-24</f>
        <v>1856</v>
      </c>
      <c r="H117" s="37"/>
      <c r="I117" s="56">
        <v>165</v>
      </c>
      <c r="J117" s="29">
        <f>F120</f>
        <v>140.75969827586206</v>
      </c>
      <c r="K117" s="29">
        <f>I117 - J117</f>
        <v>24.240301724137936</v>
      </c>
      <c r="L117" s="29">
        <f>1000 / (G117 / 12)</f>
        <v>6.4655172413793105</v>
      </c>
      <c r="M117" s="54" t="s">
        <v>87</v>
      </c>
      <c r="N117" s="38">
        <f>_xlfn.IFS(M117 = "Yes",K117 - L117,M117 = "No",K117)</f>
        <v>17.774784482758626</v>
      </c>
    </row>
    <row r="118" spans="2:14" ht="15.75" customHeight="1" x14ac:dyDescent="0.3">
      <c r="B118" s="39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1"/>
    </row>
    <row r="119" spans="2:14" ht="15.75" customHeight="1" x14ac:dyDescent="0.3">
      <c r="B119" s="33" t="s">
        <v>10</v>
      </c>
      <c r="C119" s="34" t="s">
        <v>11</v>
      </c>
      <c r="D119" s="34" t="s">
        <v>12</v>
      </c>
      <c r="E119" s="34" t="s">
        <v>13</v>
      </c>
      <c r="F119" s="34" t="s">
        <v>14</v>
      </c>
      <c r="G119" s="34" t="s">
        <v>15</v>
      </c>
      <c r="H119" s="34"/>
      <c r="I119" s="34" t="s">
        <v>26</v>
      </c>
      <c r="J119" s="34" t="s">
        <v>27</v>
      </c>
      <c r="K119" s="34" t="s">
        <v>28</v>
      </c>
      <c r="L119" s="30" t="s">
        <v>29</v>
      </c>
      <c r="M119" s="34" t="s">
        <v>30</v>
      </c>
      <c r="N119" s="36" t="s">
        <v>31</v>
      </c>
    </row>
    <row r="120" spans="2:14" ht="15.75" customHeight="1" x14ac:dyDescent="0.3">
      <c r="B120" s="52">
        <v>190000</v>
      </c>
      <c r="C120" s="42">
        <f>B120 / $G117</f>
        <v>102.37068965517241</v>
      </c>
      <c r="D120" s="43">
        <f>SUM($B117,$C117,$D117,$E117)</f>
        <v>0.375</v>
      </c>
      <c r="E120" s="42">
        <f>(B120 * D120) / $G117</f>
        <v>38.389008620689658</v>
      </c>
      <c r="F120" s="42">
        <f>C120 + E120</f>
        <v>140.75969827586206</v>
      </c>
      <c r="G120" s="42">
        <f>F120 * (1+$F117)</f>
        <v>175.94962284482759</v>
      </c>
      <c r="H120" s="44"/>
      <c r="I120" s="45">
        <f>G117 * I117</f>
        <v>306240</v>
      </c>
      <c r="J120" s="45">
        <f>_xlfn.IFS(M117 = "Yes",G117 * (J117 + L117),M117 &lt;&gt; "Yes",G117 * (J117))</f>
        <v>273250</v>
      </c>
      <c r="K120" s="45">
        <f>I120 - J120</f>
        <v>32990</v>
      </c>
      <c r="L120" s="46">
        <f>K120 / I120</f>
        <v>0.10772596656217345</v>
      </c>
      <c r="M120" s="45">
        <f>I120 / 12</f>
        <v>25520</v>
      </c>
      <c r="N120" s="47">
        <f>K120 / 12</f>
        <v>2749.1666666666665</v>
      </c>
    </row>
    <row r="121" spans="2:14" ht="15.75" customHeight="1" x14ac:dyDescent="0.3"/>
    <row r="122" spans="2:14" ht="21" x14ac:dyDescent="0.4">
      <c r="B122" s="275" t="s">
        <v>100</v>
      </c>
      <c r="C122" s="276"/>
      <c r="D122" s="276"/>
      <c r="E122" s="276"/>
      <c r="F122" s="276"/>
      <c r="G122" s="276"/>
      <c r="H122" s="50" t="s">
        <v>53</v>
      </c>
      <c r="I122" s="50" t="s">
        <v>53</v>
      </c>
      <c r="J122" s="50" t="s">
        <v>53</v>
      </c>
      <c r="K122" s="50" t="s">
        <v>53</v>
      </c>
      <c r="L122" s="50" t="s">
        <v>53</v>
      </c>
      <c r="M122" s="50" t="s">
        <v>53</v>
      </c>
      <c r="N122" s="51" t="s">
        <v>53</v>
      </c>
    </row>
    <row r="123" spans="2:14" ht="15.75" customHeight="1" x14ac:dyDescent="0.3">
      <c r="B123" s="33" t="s">
        <v>1</v>
      </c>
      <c r="C123" s="34" t="s">
        <v>3</v>
      </c>
      <c r="D123" s="34" t="s">
        <v>2</v>
      </c>
      <c r="E123" s="34" t="s">
        <v>4</v>
      </c>
      <c r="F123" s="34" t="s">
        <v>6</v>
      </c>
      <c r="G123" s="34" t="s">
        <v>5</v>
      </c>
      <c r="H123" s="34"/>
      <c r="I123" s="34" t="s">
        <v>19</v>
      </c>
      <c r="J123" s="34" t="s">
        <v>20</v>
      </c>
      <c r="K123" s="34" t="s">
        <v>21</v>
      </c>
      <c r="L123" s="35" t="s">
        <v>22</v>
      </c>
      <c r="M123" s="34" t="s">
        <v>23</v>
      </c>
      <c r="N123" s="36" t="s">
        <v>24</v>
      </c>
    </row>
    <row r="124" spans="2:14" ht="15.75" customHeight="1" x14ac:dyDescent="0.3">
      <c r="B124" s="55">
        <v>0.13</v>
      </c>
      <c r="C124" s="59">
        <v>0.1</v>
      </c>
      <c r="D124" s="53">
        <v>0.12</v>
      </c>
      <c r="E124" s="53">
        <v>0.1</v>
      </c>
      <c r="F124" s="53">
        <v>0.25</v>
      </c>
      <c r="G124" s="54">
        <v>1880</v>
      </c>
      <c r="H124" s="37"/>
      <c r="I124" s="56">
        <v>169</v>
      </c>
      <c r="J124" s="29">
        <f>F127</f>
        <v>146.54255319148936</v>
      </c>
      <c r="K124" s="29">
        <f>I124 - J124</f>
        <v>22.457446808510639</v>
      </c>
      <c r="L124" s="29">
        <f>1000 / (G124 / 12)</f>
        <v>6.3829787234042561</v>
      </c>
      <c r="M124" s="54" t="s">
        <v>87</v>
      </c>
      <c r="N124" s="38">
        <f>_xlfn.IFS(M124 = "Yes",K124 - L124,M124 = "No",K124)</f>
        <v>16.074468085106382</v>
      </c>
    </row>
    <row r="125" spans="2:14" ht="15.75" customHeight="1" x14ac:dyDescent="0.3">
      <c r="B125" s="39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1"/>
    </row>
    <row r="126" spans="2:14" ht="15.75" customHeight="1" x14ac:dyDescent="0.3">
      <c r="B126" s="33" t="s">
        <v>10</v>
      </c>
      <c r="C126" s="34" t="s">
        <v>11</v>
      </c>
      <c r="D126" s="34" t="s">
        <v>12</v>
      </c>
      <c r="E126" s="34" t="s">
        <v>13</v>
      </c>
      <c r="F126" s="34" t="s">
        <v>14</v>
      </c>
      <c r="G126" s="34" t="s">
        <v>15</v>
      </c>
      <c r="H126" s="34"/>
      <c r="I126" s="34" t="s">
        <v>26</v>
      </c>
      <c r="J126" s="34" t="s">
        <v>27</v>
      </c>
      <c r="K126" s="34" t="s">
        <v>28</v>
      </c>
      <c r="L126" s="30" t="s">
        <v>29</v>
      </c>
      <c r="M126" s="34" t="s">
        <v>30</v>
      </c>
      <c r="N126" s="36" t="s">
        <v>31</v>
      </c>
    </row>
    <row r="127" spans="2:14" ht="15.75" customHeight="1" x14ac:dyDescent="0.3">
      <c r="B127" s="52">
        <v>190000</v>
      </c>
      <c r="C127" s="42">
        <f>B127 / $G124</f>
        <v>101.06382978723404</v>
      </c>
      <c r="D127" s="43">
        <f>SUM($B124,$C124,$D124,$E124)</f>
        <v>0.44999999999999996</v>
      </c>
      <c r="E127" s="42">
        <f>(B127 * D127) / $G124</f>
        <v>45.478723404255312</v>
      </c>
      <c r="F127" s="42">
        <f>C127 + E127</f>
        <v>146.54255319148936</v>
      </c>
      <c r="G127" s="42">
        <f>F127 * (1+$F124)</f>
        <v>183.17819148936169</v>
      </c>
      <c r="H127" s="44"/>
      <c r="I127" s="45">
        <f>G124 * I124</f>
        <v>317720</v>
      </c>
      <c r="J127" s="45">
        <f>_xlfn.IFS(M124 = "Yes",G124 * (J124 + L124),M124 &lt;&gt; "Yes",G124 * (J124))</f>
        <v>287500</v>
      </c>
      <c r="K127" s="45">
        <f>I127 - J127</f>
        <v>30220</v>
      </c>
      <c r="L127" s="46">
        <f>K127 / I127</f>
        <v>9.5115195769860258E-2</v>
      </c>
      <c r="M127" s="45">
        <f>I127 / 12</f>
        <v>26476.666666666668</v>
      </c>
      <c r="N127" s="47">
        <f>K127 / 12</f>
        <v>2518.3333333333335</v>
      </c>
    </row>
    <row r="128" spans="2:14" ht="15.75" customHeight="1" x14ac:dyDescent="0.3"/>
    <row r="129" spans="2:14" ht="21.75" customHeight="1" x14ac:dyDescent="0.4">
      <c r="B129" s="275" t="s">
        <v>101</v>
      </c>
      <c r="C129" s="276"/>
      <c r="D129" s="276"/>
      <c r="E129" s="276"/>
      <c r="F129" s="276"/>
      <c r="G129" s="276"/>
      <c r="H129" s="50" t="s">
        <v>53</v>
      </c>
      <c r="I129" s="50" t="s">
        <v>53</v>
      </c>
      <c r="J129" s="50" t="s">
        <v>53</v>
      </c>
      <c r="K129" s="50" t="s">
        <v>53</v>
      </c>
      <c r="L129" s="50" t="s">
        <v>53</v>
      </c>
      <c r="M129" s="50" t="s">
        <v>53</v>
      </c>
      <c r="N129" s="51" t="s">
        <v>53</v>
      </c>
    </row>
    <row r="130" spans="2:14" ht="15.75" customHeight="1" x14ac:dyDescent="0.3">
      <c r="B130" s="33" t="s">
        <v>1</v>
      </c>
      <c r="C130" s="34" t="s">
        <v>3</v>
      </c>
      <c r="D130" s="34" t="s">
        <v>2</v>
      </c>
      <c r="E130" s="34" t="s">
        <v>4</v>
      </c>
      <c r="F130" s="34" t="s">
        <v>6</v>
      </c>
      <c r="G130" s="34" t="s">
        <v>5</v>
      </c>
      <c r="H130" s="34"/>
      <c r="I130" s="34" t="s">
        <v>19</v>
      </c>
      <c r="J130" s="34" t="s">
        <v>20</v>
      </c>
      <c r="K130" s="34" t="s">
        <v>21</v>
      </c>
      <c r="L130" s="35" t="s">
        <v>22</v>
      </c>
      <c r="M130" s="34" t="s">
        <v>23</v>
      </c>
      <c r="N130" s="36" t="s">
        <v>24</v>
      </c>
    </row>
    <row r="131" spans="2:14" ht="15.75" customHeight="1" x14ac:dyDescent="0.3">
      <c r="B131" s="55">
        <v>0.13</v>
      </c>
      <c r="C131" s="59">
        <v>0.05</v>
      </c>
      <c r="D131" s="53">
        <v>0.12</v>
      </c>
      <c r="E131" s="53">
        <v>0.1</v>
      </c>
      <c r="F131" s="53">
        <v>0.25</v>
      </c>
      <c r="G131" s="54">
        <v>1880</v>
      </c>
      <c r="H131" s="37"/>
      <c r="I131" s="56">
        <v>145</v>
      </c>
      <c r="J131" s="29">
        <f>F134</f>
        <v>107.97872340425532</v>
      </c>
      <c r="K131" s="29">
        <f>I131 - J131</f>
        <v>37.021276595744681</v>
      </c>
      <c r="L131" s="29">
        <f>1000 / (G131 / 12)</f>
        <v>6.3829787234042561</v>
      </c>
      <c r="M131" s="54" t="s">
        <v>87</v>
      </c>
      <c r="N131" s="38">
        <f>_xlfn.IFS(M131 = "Yes",K131 - L131,M131 = "No",K131)</f>
        <v>30.638297872340424</v>
      </c>
    </row>
    <row r="132" spans="2:14" ht="15.75" customHeight="1" x14ac:dyDescent="0.3">
      <c r="B132" s="39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1"/>
    </row>
    <row r="133" spans="2:14" ht="15.75" customHeight="1" x14ac:dyDescent="0.3">
      <c r="B133" s="33" t="s">
        <v>10</v>
      </c>
      <c r="C133" s="34" t="s">
        <v>11</v>
      </c>
      <c r="D133" s="34" t="s">
        <v>12</v>
      </c>
      <c r="E133" s="34" t="s">
        <v>13</v>
      </c>
      <c r="F133" s="34" t="s">
        <v>14</v>
      </c>
      <c r="G133" s="34" t="s">
        <v>15</v>
      </c>
      <c r="H133" s="34"/>
      <c r="I133" s="34" t="s">
        <v>26</v>
      </c>
      <c r="J133" s="34" t="s">
        <v>27</v>
      </c>
      <c r="K133" s="34" t="s">
        <v>28</v>
      </c>
      <c r="L133" s="30" t="s">
        <v>29</v>
      </c>
      <c r="M133" s="34" t="s">
        <v>30</v>
      </c>
      <c r="N133" s="36" t="s">
        <v>31</v>
      </c>
    </row>
    <row r="134" spans="2:14" ht="15.75" customHeight="1" x14ac:dyDescent="0.3">
      <c r="B134" s="52">
        <v>145000</v>
      </c>
      <c r="C134" s="42">
        <f>B134 / $G131</f>
        <v>77.127659574468083</v>
      </c>
      <c r="D134" s="43">
        <f>SUM($B131,$C131,$D131,$E131)</f>
        <v>0.4</v>
      </c>
      <c r="E134" s="42">
        <f>(B134 * D134) / $G131</f>
        <v>30.851063829787233</v>
      </c>
      <c r="F134" s="42">
        <f>C134 + E134</f>
        <v>107.97872340425532</v>
      </c>
      <c r="G134" s="42">
        <f>F134 * (1+$F131)</f>
        <v>134.97340425531914</v>
      </c>
      <c r="H134" s="44"/>
      <c r="I134" s="45">
        <f>G131 * I131</f>
        <v>272600</v>
      </c>
      <c r="J134" s="45">
        <f>_xlfn.IFS(M131 = "Yes",G131 * (J131 + L131),M131 &lt;&gt; "Yes",G131 * (J131))</f>
        <v>215000</v>
      </c>
      <c r="K134" s="45">
        <f>I134 - J134</f>
        <v>57600</v>
      </c>
      <c r="L134" s="46">
        <f>K134 / I134</f>
        <v>0.21129860601614087</v>
      </c>
      <c r="M134" s="45">
        <f>I134 / 12</f>
        <v>22716.666666666668</v>
      </c>
      <c r="N134" s="47">
        <f>K134 / 12</f>
        <v>4800</v>
      </c>
    </row>
    <row r="135" spans="2:14" ht="15.75" customHeight="1" x14ac:dyDescent="0.3"/>
    <row r="136" spans="2:14" ht="18.75" customHeight="1" x14ac:dyDescent="0.4">
      <c r="B136" s="49" t="s">
        <v>102</v>
      </c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1"/>
    </row>
    <row r="137" spans="2:14" ht="15.75" customHeight="1" x14ac:dyDescent="0.3">
      <c r="B137" s="33" t="s">
        <v>1</v>
      </c>
      <c r="C137" s="34" t="s">
        <v>3</v>
      </c>
      <c r="D137" s="34" t="s">
        <v>2</v>
      </c>
      <c r="E137" s="34" t="s">
        <v>4</v>
      </c>
      <c r="F137" s="34" t="s">
        <v>6</v>
      </c>
      <c r="G137" s="34" t="s">
        <v>5</v>
      </c>
      <c r="H137" s="34"/>
      <c r="I137" s="34" t="s">
        <v>19</v>
      </c>
      <c r="J137" s="34" t="s">
        <v>20</v>
      </c>
      <c r="K137" s="34" t="s">
        <v>21</v>
      </c>
      <c r="L137" s="35" t="s">
        <v>22</v>
      </c>
      <c r="M137" s="34" t="s">
        <v>23</v>
      </c>
      <c r="N137" s="36" t="s">
        <v>24</v>
      </c>
    </row>
    <row r="138" spans="2:14" ht="15.75" customHeight="1" x14ac:dyDescent="0.3">
      <c r="B138" s="55">
        <v>0.13</v>
      </c>
      <c r="C138" s="59">
        <v>0.05</v>
      </c>
      <c r="D138" s="53">
        <v>0.12</v>
      </c>
      <c r="E138" s="53">
        <v>0.1</v>
      </c>
      <c r="F138" s="53">
        <v>0.25</v>
      </c>
      <c r="G138" s="54">
        <v>1880</v>
      </c>
      <c r="H138" s="37"/>
      <c r="I138" s="56">
        <v>85</v>
      </c>
      <c r="J138" s="29">
        <f>F141</f>
        <v>63.297872340425528</v>
      </c>
      <c r="K138" s="29">
        <f>I138 - J138</f>
        <v>21.702127659574472</v>
      </c>
      <c r="L138" s="29">
        <f>1000 / (G138 / 12)</f>
        <v>6.3829787234042561</v>
      </c>
      <c r="M138" s="54" t="s">
        <v>25</v>
      </c>
      <c r="N138" s="38">
        <f>_xlfn.IFS(M138 = "Yes",K138 - L138,M138 = "No",K138)</f>
        <v>15.319148936170215</v>
      </c>
    </row>
    <row r="139" spans="2:14" ht="15.75" customHeight="1" x14ac:dyDescent="0.3">
      <c r="B139" s="39"/>
      <c r="C139" s="40"/>
      <c r="D139" s="40"/>
      <c r="E139" s="40"/>
      <c r="F139" s="40"/>
      <c r="G139" s="40"/>
      <c r="H139" s="40"/>
      <c r="I139" s="65"/>
      <c r="J139" s="40"/>
      <c r="K139" s="40"/>
      <c r="L139" s="40"/>
      <c r="M139" s="40"/>
      <c r="N139" s="41"/>
    </row>
    <row r="140" spans="2:14" ht="15.75" customHeight="1" x14ac:dyDescent="0.3">
      <c r="B140" s="33" t="s">
        <v>84</v>
      </c>
      <c r="C140" s="34" t="s">
        <v>11</v>
      </c>
      <c r="D140" s="34" t="s">
        <v>12</v>
      </c>
      <c r="E140" s="34" t="s">
        <v>13</v>
      </c>
      <c r="F140" s="34" t="s">
        <v>14</v>
      </c>
      <c r="G140" s="34" t="s">
        <v>15</v>
      </c>
      <c r="H140" s="34"/>
      <c r="I140" s="34" t="s">
        <v>26</v>
      </c>
      <c r="J140" s="34" t="s">
        <v>27</v>
      </c>
      <c r="K140" s="34" t="s">
        <v>28</v>
      </c>
      <c r="L140" s="30" t="s">
        <v>29</v>
      </c>
      <c r="M140" s="34" t="s">
        <v>30</v>
      </c>
      <c r="N140" s="36" t="s">
        <v>31</v>
      </c>
    </row>
    <row r="141" spans="2:14" ht="15.75" customHeight="1" x14ac:dyDescent="0.3">
      <c r="B141" s="52">
        <v>85000</v>
      </c>
      <c r="C141" s="42">
        <f>B141 / $G138</f>
        <v>45.212765957446805</v>
      </c>
      <c r="D141" s="43">
        <f>SUM($B138,$C138,$D138,$E138)</f>
        <v>0.4</v>
      </c>
      <c r="E141" s="42">
        <f>(B141 * D141) / $G138</f>
        <v>18.085106382978722</v>
      </c>
      <c r="F141" s="42">
        <f>C141 + E141</f>
        <v>63.297872340425528</v>
      </c>
      <c r="G141" s="42">
        <f>F141 * (1+$F138)</f>
        <v>79.122340425531917</v>
      </c>
      <c r="H141" s="44"/>
      <c r="I141" s="45">
        <f>G138 * I138</f>
        <v>159800</v>
      </c>
      <c r="J141" s="45">
        <f>_xlfn.IFS(M138 = "Yes",G138 * (J138 + L138),M138 &lt;&gt; "Yes",G138 * (J138))</f>
        <v>130999.99999999999</v>
      </c>
      <c r="K141" s="45">
        <f>I141 - J141</f>
        <v>28800.000000000015</v>
      </c>
      <c r="L141" s="46">
        <f>K141 / I141</f>
        <v>0.1802252816020026</v>
      </c>
      <c r="M141" s="45">
        <f>I141 / 12</f>
        <v>13316.666666666666</v>
      </c>
      <c r="N141" s="47">
        <f>K141 / 12</f>
        <v>2400.0000000000014</v>
      </c>
    </row>
    <row r="142" spans="2:14" ht="15.75" customHeight="1" x14ac:dyDescent="0.3"/>
    <row r="143" spans="2:14" ht="21" x14ac:dyDescent="0.4">
      <c r="B143" s="49" t="s">
        <v>103</v>
      </c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1"/>
    </row>
    <row r="144" spans="2:14" ht="15.75" customHeight="1" x14ac:dyDescent="0.3">
      <c r="B144" s="33" t="s">
        <v>1</v>
      </c>
      <c r="C144" s="34" t="s">
        <v>3</v>
      </c>
      <c r="D144" s="34" t="s">
        <v>2</v>
      </c>
      <c r="E144" s="34" t="s">
        <v>4</v>
      </c>
      <c r="F144" s="34" t="s">
        <v>6</v>
      </c>
      <c r="G144" s="34" t="s">
        <v>5</v>
      </c>
      <c r="H144" s="34"/>
      <c r="I144" s="34" t="s">
        <v>19</v>
      </c>
      <c r="J144" s="34" t="s">
        <v>20</v>
      </c>
      <c r="K144" s="34" t="s">
        <v>21</v>
      </c>
      <c r="L144" s="35" t="s">
        <v>22</v>
      </c>
      <c r="M144" s="34" t="s">
        <v>23</v>
      </c>
      <c r="N144" s="36" t="s">
        <v>24</v>
      </c>
    </row>
    <row r="145" spans="2:14" ht="15.75" customHeight="1" x14ac:dyDescent="0.3">
      <c r="B145" s="55">
        <v>0.13</v>
      </c>
      <c r="C145" s="59">
        <v>0.1</v>
      </c>
      <c r="D145" s="53">
        <v>0.12</v>
      </c>
      <c r="E145" s="53">
        <v>0.1</v>
      </c>
      <c r="F145" s="53">
        <v>0.25</v>
      </c>
      <c r="G145" s="54">
        <v>1880</v>
      </c>
      <c r="H145" s="37"/>
      <c r="I145" s="56">
        <v>185</v>
      </c>
      <c r="J145" s="29">
        <f>F148</f>
        <v>146.54255319148936</v>
      </c>
      <c r="K145" s="29">
        <f>I145 - J145</f>
        <v>38.457446808510639</v>
      </c>
      <c r="L145" s="29">
        <f>1000 / (G145 / 12)</f>
        <v>6.3829787234042561</v>
      </c>
      <c r="M145" s="54" t="s">
        <v>25</v>
      </c>
      <c r="N145" s="38">
        <f>_xlfn.IFS(M145 = "Yes",K145 - L145,M145 = "No",K145)</f>
        <v>32.074468085106382</v>
      </c>
    </row>
    <row r="146" spans="2:14" ht="15.75" customHeight="1" x14ac:dyDescent="0.3">
      <c r="B146" s="39"/>
      <c r="C146" s="40"/>
      <c r="D146" s="40"/>
      <c r="E146" s="40"/>
      <c r="F146" s="40"/>
      <c r="G146" s="40"/>
      <c r="H146" s="40"/>
      <c r="I146" s="65"/>
      <c r="J146" s="40"/>
      <c r="K146" s="40"/>
      <c r="L146" s="40"/>
      <c r="M146" s="40"/>
      <c r="N146" s="41"/>
    </row>
    <row r="147" spans="2:14" ht="15.75" customHeight="1" x14ac:dyDescent="0.3">
      <c r="B147" s="33" t="s">
        <v>84</v>
      </c>
      <c r="C147" s="34" t="s">
        <v>11</v>
      </c>
      <c r="D147" s="34" t="s">
        <v>12</v>
      </c>
      <c r="E147" s="34" t="s">
        <v>13</v>
      </c>
      <c r="F147" s="34" t="s">
        <v>14</v>
      </c>
      <c r="G147" s="34" t="s">
        <v>15</v>
      </c>
      <c r="H147" s="34"/>
      <c r="I147" s="34" t="s">
        <v>26</v>
      </c>
      <c r="J147" s="34" t="s">
        <v>27</v>
      </c>
      <c r="K147" s="34" t="s">
        <v>28</v>
      </c>
      <c r="L147" s="30" t="s">
        <v>29</v>
      </c>
      <c r="M147" s="34" t="s">
        <v>30</v>
      </c>
      <c r="N147" s="36" t="s">
        <v>31</v>
      </c>
    </row>
    <row r="148" spans="2:14" ht="15.75" customHeight="1" x14ac:dyDescent="0.3">
      <c r="B148" s="52">
        <v>190000</v>
      </c>
      <c r="C148" s="42">
        <f>B148 / $G145</f>
        <v>101.06382978723404</v>
      </c>
      <c r="D148" s="43">
        <f>SUM($B145,$C145,$D145,$E145)</f>
        <v>0.44999999999999996</v>
      </c>
      <c r="E148" s="42">
        <f>(B148 * D148) / $G145</f>
        <v>45.478723404255312</v>
      </c>
      <c r="F148" s="42">
        <f>C148 + E148</f>
        <v>146.54255319148936</v>
      </c>
      <c r="G148" s="42">
        <f>F148 * (1+$F145)</f>
        <v>183.17819148936169</v>
      </c>
      <c r="H148" s="44"/>
      <c r="I148" s="45">
        <f>G145 * I145</f>
        <v>347800</v>
      </c>
      <c r="J148" s="45">
        <f>_xlfn.IFS(M145 = "Yes",G145 * (J145 + L145),M145 &lt;&gt; "Yes",G145 * (J145))</f>
        <v>287500</v>
      </c>
      <c r="K148" s="45">
        <f>I148 - J148</f>
        <v>60300</v>
      </c>
      <c r="L148" s="46">
        <f>K148 / I148</f>
        <v>0.1733755031627372</v>
      </c>
      <c r="M148" s="45">
        <f>I148 / 12</f>
        <v>28983.333333333332</v>
      </c>
      <c r="N148" s="47">
        <f>K148 / 12</f>
        <v>5025</v>
      </c>
    </row>
    <row r="149" spans="2:14" ht="15.75" customHeight="1" x14ac:dyDescent="0.3"/>
    <row r="150" spans="2:14" ht="15.75" customHeight="1" x14ac:dyDescent="0.4">
      <c r="B150" s="49" t="s">
        <v>104</v>
      </c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1"/>
    </row>
    <row r="151" spans="2:14" ht="45.75" customHeight="1" x14ac:dyDescent="0.3">
      <c r="B151" s="33" t="s">
        <v>1</v>
      </c>
      <c r="C151" s="34" t="s">
        <v>3</v>
      </c>
      <c r="D151" s="34" t="s">
        <v>2</v>
      </c>
      <c r="E151" s="34" t="s">
        <v>4</v>
      </c>
      <c r="F151" s="34" t="s">
        <v>6</v>
      </c>
      <c r="G151" s="34" t="s">
        <v>5</v>
      </c>
      <c r="H151" s="34"/>
      <c r="I151" s="34" t="s">
        <v>19</v>
      </c>
      <c r="J151" s="34" t="s">
        <v>20</v>
      </c>
      <c r="K151" s="34" t="s">
        <v>21</v>
      </c>
      <c r="L151" s="35" t="s">
        <v>22</v>
      </c>
      <c r="M151" s="34" t="s">
        <v>23</v>
      </c>
      <c r="N151" s="36" t="s">
        <v>24</v>
      </c>
    </row>
    <row r="152" spans="2:14" ht="15.75" customHeight="1" x14ac:dyDescent="0.3">
      <c r="B152" s="55">
        <v>0</v>
      </c>
      <c r="C152" s="59">
        <v>0</v>
      </c>
      <c r="D152" s="53">
        <v>0</v>
      </c>
      <c r="E152" s="53">
        <v>0.05</v>
      </c>
      <c r="F152" s="53">
        <v>0.25</v>
      </c>
      <c r="G152" s="54">
        <v>1880</v>
      </c>
      <c r="H152" s="37"/>
      <c r="I152" s="56">
        <v>175</v>
      </c>
      <c r="J152" s="29">
        <f>F155</f>
        <v>131.25</v>
      </c>
      <c r="K152" s="29">
        <f>I152 - J152</f>
        <v>43.75</v>
      </c>
      <c r="L152" s="29">
        <f>1000 / (G152 / 12)</f>
        <v>6.3829787234042561</v>
      </c>
      <c r="M152" s="54" t="s">
        <v>105</v>
      </c>
      <c r="N152" s="38">
        <f>_xlfn.IFS(M152 = "Yes",K152 - L152,M152 = "No",K152)</f>
        <v>43.75</v>
      </c>
    </row>
    <row r="153" spans="2:14" ht="15.75" customHeight="1" x14ac:dyDescent="0.3">
      <c r="B153" s="39"/>
      <c r="C153" s="40"/>
      <c r="D153" s="40"/>
      <c r="E153" s="40"/>
      <c r="F153" s="40"/>
      <c r="G153" s="40"/>
      <c r="H153" s="40"/>
      <c r="I153" s="65"/>
      <c r="J153" s="40"/>
      <c r="K153" s="40"/>
      <c r="L153" s="40"/>
      <c r="M153" s="40"/>
      <c r="N153" s="41"/>
    </row>
    <row r="154" spans="2:14" ht="15.75" customHeight="1" x14ac:dyDescent="0.3">
      <c r="B154" s="33" t="s">
        <v>84</v>
      </c>
      <c r="C154" s="34" t="s">
        <v>11</v>
      </c>
      <c r="D154" s="34" t="s">
        <v>12</v>
      </c>
      <c r="E154" s="34" t="s">
        <v>13</v>
      </c>
      <c r="F154" s="34" t="s">
        <v>14</v>
      </c>
      <c r="G154" s="34" t="s">
        <v>15</v>
      </c>
      <c r="H154" s="34"/>
      <c r="I154" s="34" t="s">
        <v>26</v>
      </c>
      <c r="J154" s="34" t="s">
        <v>27</v>
      </c>
      <c r="K154" s="34" t="s">
        <v>28</v>
      </c>
      <c r="L154" s="30" t="s">
        <v>29</v>
      </c>
      <c r="M154" s="34" t="s">
        <v>30</v>
      </c>
      <c r="N154" s="36" t="s">
        <v>31</v>
      </c>
    </row>
    <row r="155" spans="2:14" ht="15.75" customHeight="1" x14ac:dyDescent="0.3">
      <c r="B155" s="52">
        <v>235000</v>
      </c>
      <c r="C155" s="42">
        <f>B155 / $G152</f>
        <v>125</v>
      </c>
      <c r="D155" s="43">
        <f>SUM($B152,$C152,$D152,$E152)</f>
        <v>0.05</v>
      </c>
      <c r="E155" s="42">
        <f>(B155 * D155) / $G152</f>
        <v>6.25</v>
      </c>
      <c r="F155" s="42">
        <f>C155 + E155</f>
        <v>131.25</v>
      </c>
      <c r="G155" s="42">
        <f>F155 * (1+$F152)</f>
        <v>164.0625</v>
      </c>
      <c r="H155" s="44"/>
      <c r="I155" s="45">
        <f>G152 * I152</f>
        <v>329000</v>
      </c>
      <c r="J155" s="45">
        <f>_xlfn.IFS(M152 = "Yes",G152 * (J152 + L152),M152 &lt;&gt; "Yes",G152 * (J152))</f>
        <v>246750</v>
      </c>
      <c r="K155" s="45">
        <f>I155 - J155</f>
        <v>82250</v>
      </c>
      <c r="L155" s="46">
        <f>K155 / I155</f>
        <v>0.25</v>
      </c>
      <c r="M155" s="45">
        <f>I155 / 12</f>
        <v>27416.666666666668</v>
      </c>
      <c r="N155" s="47">
        <f>K155 / 12</f>
        <v>6854.166666666667</v>
      </c>
    </row>
    <row r="156" spans="2:14" ht="15.75" customHeight="1" x14ac:dyDescent="0.3"/>
    <row r="157" spans="2:14" ht="15.75" customHeight="1" x14ac:dyDescent="0.3"/>
    <row r="158" spans="2:14" ht="15.75" customHeight="1" x14ac:dyDescent="0.4">
      <c r="B158" s="49" t="s">
        <v>106</v>
      </c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1"/>
    </row>
    <row r="159" spans="2:14" ht="50.25" customHeight="1" x14ac:dyDescent="0.3">
      <c r="B159" s="33" t="s">
        <v>1</v>
      </c>
      <c r="C159" s="34" t="s">
        <v>3</v>
      </c>
      <c r="D159" s="34" t="s">
        <v>2</v>
      </c>
      <c r="E159" s="34" t="s">
        <v>4</v>
      </c>
      <c r="F159" s="34" t="s">
        <v>6</v>
      </c>
      <c r="G159" s="34" t="s">
        <v>5</v>
      </c>
      <c r="H159" s="34"/>
      <c r="I159" s="34" t="s">
        <v>19</v>
      </c>
      <c r="J159" s="34" t="s">
        <v>20</v>
      </c>
      <c r="K159" s="34" t="s">
        <v>21</v>
      </c>
      <c r="L159" s="35" t="s">
        <v>22</v>
      </c>
      <c r="M159" s="34" t="s">
        <v>23</v>
      </c>
      <c r="N159" s="36" t="s">
        <v>24</v>
      </c>
    </row>
    <row r="160" spans="2:14" ht="15.75" customHeight="1" x14ac:dyDescent="0.3">
      <c r="B160" s="55">
        <v>0</v>
      </c>
      <c r="C160" s="59">
        <v>0</v>
      </c>
      <c r="D160" s="53">
        <v>0</v>
      </c>
      <c r="E160" s="53">
        <v>0.05</v>
      </c>
      <c r="F160" s="53">
        <v>0.25</v>
      </c>
      <c r="G160" s="54">
        <v>1880</v>
      </c>
      <c r="H160" s="37"/>
      <c r="I160" s="56">
        <v>140</v>
      </c>
      <c r="J160" s="29">
        <f>F163</f>
        <v>99.75</v>
      </c>
      <c r="K160" s="29">
        <f>I160 - J160</f>
        <v>40.25</v>
      </c>
      <c r="L160" s="29">
        <f>1000 / (G160 / 12)</f>
        <v>6.3829787234042561</v>
      </c>
      <c r="M160" s="54" t="s">
        <v>105</v>
      </c>
      <c r="N160" s="38">
        <f>_xlfn.IFS(M160 = "Yes",K160 - L160,M160 = "No",K160)</f>
        <v>40.25</v>
      </c>
    </row>
    <row r="161" spans="2:14" ht="15.75" customHeight="1" x14ac:dyDescent="0.3">
      <c r="B161" s="39"/>
      <c r="C161" s="40"/>
      <c r="D161" s="40"/>
      <c r="E161" s="40"/>
      <c r="F161" s="40"/>
      <c r="G161" s="40"/>
      <c r="H161" s="40"/>
      <c r="I161" s="65"/>
      <c r="J161" s="40"/>
      <c r="K161" s="40"/>
      <c r="L161" s="40"/>
      <c r="M161" s="40"/>
      <c r="N161" s="41"/>
    </row>
    <row r="162" spans="2:14" ht="39.75" customHeight="1" x14ac:dyDescent="0.3">
      <c r="B162" s="33" t="s">
        <v>84</v>
      </c>
      <c r="C162" s="34" t="s">
        <v>11</v>
      </c>
      <c r="D162" s="34" t="s">
        <v>12</v>
      </c>
      <c r="E162" s="34" t="s">
        <v>13</v>
      </c>
      <c r="F162" s="34" t="s">
        <v>14</v>
      </c>
      <c r="G162" s="34" t="s">
        <v>15</v>
      </c>
      <c r="H162" s="34"/>
      <c r="I162" s="34" t="s">
        <v>26</v>
      </c>
      <c r="J162" s="34" t="s">
        <v>27</v>
      </c>
      <c r="K162" s="34" t="s">
        <v>28</v>
      </c>
      <c r="L162" s="30" t="s">
        <v>29</v>
      </c>
      <c r="M162" s="34" t="s">
        <v>30</v>
      </c>
      <c r="N162" s="36" t="s">
        <v>31</v>
      </c>
    </row>
    <row r="163" spans="2:14" ht="18.75" customHeight="1" x14ac:dyDescent="0.3">
      <c r="B163" s="52">
        <f>95*G160</f>
        <v>178600</v>
      </c>
      <c r="C163" s="42">
        <f>B163 / $G160</f>
        <v>95</v>
      </c>
      <c r="D163" s="43">
        <f>SUM($B160,$C160,$D160,$E160)</f>
        <v>0.05</v>
      </c>
      <c r="E163" s="42">
        <f>(B163 * D163) / $G160</f>
        <v>4.75</v>
      </c>
      <c r="F163" s="42">
        <f>C163 + E163</f>
        <v>99.75</v>
      </c>
      <c r="G163" s="42">
        <f>F163 * (1+$F160)</f>
        <v>124.6875</v>
      </c>
      <c r="H163" s="44"/>
      <c r="I163" s="45">
        <f>G160 * I160</f>
        <v>263200</v>
      </c>
      <c r="J163" s="45">
        <f>_xlfn.IFS(M160 = "Yes",G160 * (J160 + L160),M160 &lt;&gt; "Yes",G160 * (J160))</f>
        <v>187530</v>
      </c>
      <c r="K163" s="45">
        <f>I163 - J163</f>
        <v>75670</v>
      </c>
      <c r="L163" s="46">
        <f>K163 / I163</f>
        <v>0.28749999999999998</v>
      </c>
      <c r="M163" s="45">
        <f>I163 / 12</f>
        <v>21933.333333333332</v>
      </c>
      <c r="N163" s="47">
        <f>K163 / 12</f>
        <v>6305.833333333333</v>
      </c>
    </row>
    <row r="164" spans="2:14" ht="15.75" customHeight="1" x14ac:dyDescent="0.3"/>
    <row r="165" spans="2:14" ht="15.75" customHeight="1" x14ac:dyDescent="0.3"/>
    <row r="166" spans="2:14" ht="15.75" customHeight="1" x14ac:dyDescent="0.3"/>
    <row r="167" spans="2:14" ht="21" x14ac:dyDescent="0.4">
      <c r="B167" s="275"/>
      <c r="C167" s="276"/>
      <c r="D167" s="276"/>
      <c r="E167" s="276"/>
      <c r="F167" s="276"/>
      <c r="G167" s="276"/>
      <c r="H167" s="50" t="s">
        <v>53</v>
      </c>
      <c r="I167" s="50" t="s">
        <v>53</v>
      </c>
      <c r="J167" s="50" t="s">
        <v>53</v>
      </c>
      <c r="K167" s="50" t="s">
        <v>53</v>
      </c>
      <c r="L167" s="50" t="s">
        <v>53</v>
      </c>
      <c r="M167" s="50" t="s">
        <v>53</v>
      </c>
      <c r="N167" s="51" t="s">
        <v>53</v>
      </c>
    </row>
    <row r="168" spans="2:14" ht="15.75" customHeight="1" x14ac:dyDescent="0.3">
      <c r="B168" s="33" t="s">
        <v>1</v>
      </c>
      <c r="C168" s="34" t="s">
        <v>3</v>
      </c>
      <c r="D168" s="34" t="s">
        <v>2</v>
      </c>
      <c r="E168" s="34" t="s">
        <v>4</v>
      </c>
      <c r="F168" s="34" t="s">
        <v>6</v>
      </c>
      <c r="G168" s="34" t="s">
        <v>5</v>
      </c>
      <c r="H168" s="34"/>
      <c r="I168" s="34" t="s">
        <v>19</v>
      </c>
      <c r="J168" s="34" t="s">
        <v>20</v>
      </c>
      <c r="K168" s="34" t="s">
        <v>21</v>
      </c>
      <c r="L168" s="35" t="s">
        <v>22</v>
      </c>
      <c r="M168" s="34" t="s">
        <v>23</v>
      </c>
      <c r="N168" s="36" t="s">
        <v>24</v>
      </c>
    </row>
    <row r="169" spans="2:14" ht="15.75" customHeight="1" x14ac:dyDescent="0.3">
      <c r="B169" s="55">
        <v>0.13</v>
      </c>
      <c r="C169" s="59">
        <v>0.1</v>
      </c>
      <c r="D169" s="53">
        <v>0.12</v>
      </c>
      <c r="E169" s="53">
        <v>0.1</v>
      </c>
      <c r="F169" s="53">
        <v>0.25</v>
      </c>
      <c r="G169" s="54">
        <v>1880</v>
      </c>
      <c r="H169" s="37"/>
      <c r="I169" s="56">
        <v>115</v>
      </c>
      <c r="J169" s="29">
        <f>F172</f>
        <v>84.840425531914889</v>
      </c>
      <c r="K169" s="29">
        <f>I169 - J169</f>
        <v>30.159574468085111</v>
      </c>
      <c r="L169" s="29">
        <f>1000 / (G169 / 12)</f>
        <v>6.3829787234042561</v>
      </c>
      <c r="M169" s="54" t="s">
        <v>25</v>
      </c>
      <c r="N169" s="38">
        <f>_xlfn.IFS(M169 = "Yes",K169 - L169,M169 = "No",K169)</f>
        <v>23.776595744680854</v>
      </c>
    </row>
    <row r="170" spans="2:14" ht="15.75" customHeight="1" x14ac:dyDescent="0.3">
      <c r="B170" s="39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1"/>
    </row>
    <row r="171" spans="2:14" ht="15.75" customHeight="1" x14ac:dyDescent="0.3">
      <c r="B171" s="33" t="s">
        <v>10</v>
      </c>
      <c r="C171" s="34" t="s">
        <v>11</v>
      </c>
      <c r="D171" s="34" t="s">
        <v>12</v>
      </c>
      <c r="E171" s="34" t="s">
        <v>13</v>
      </c>
      <c r="F171" s="34" t="s">
        <v>14</v>
      </c>
      <c r="G171" s="34" t="s">
        <v>15</v>
      </c>
      <c r="H171" s="34"/>
      <c r="I171" s="34" t="s">
        <v>26</v>
      </c>
      <c r="J171" s="34" t="s">
        <v>27</v>
      </c>
      <c r="K171" s="34" t="s">
        <v>28</v>
      </c>
      <c r="L171" s="30" t="s">
        <v>29</v>
      </c>
      <c r="M171" s="34" t="s">
        <v>30</v>
      </c>
      <c r="N171" s="36" t="s">
        <v>31</v>
      </c>
    </row>
    <row r="172" spans="2:14" ht="15.75" customHeight="1" x14ac:dyDescent="0.3">
      <c r="B172" s="52">
        <v>110000</v>
      </c>
      <c r="C172" s="42">
        <f>B172 / $G169</f>
        <v>58.51063829787234</v>
      </c>
      <c r="D172" s="43">
        <f>SUM($B169,$C169,$D169,$E169)</f>
        <v>0.44999999999999996</v>
      </c>
      <c r="E172" s="42">
        <f>(B172 * D172) / $G169</f>
        <v>26.329787234042549</v>
      </c>
      <c r="F172" s="42">
        <f>C172 + E172</f>
        <v>84.840425531914889</v>
      </c>
      <c r="G172" s="42">
        <f>F172 * (1+$F169)</f>
        <v>106.05053191489361</v>
      </c>
      <c r="H172" s="44"/>
      <c r="I172" s="45">
        <f>G169 * I169</f>
        <v>216200</v>
      </c>
      <c r="J172" s="45">
        <f>_xlfn.IFS(M169 = "Yes",G169 * (J169 + L169),M169 &lt;&gt; "Yes",G169 * (J169))</f>
        <v>171499.99999999997</v>
      </c>
      <c r="K172" s="45">
        <f>I172 - J172</f>
        <v>44700.000000000029</v>
      </c>
      <c r="L172" s="46">
        <f>K172 / I172</f>
        <v>0.20675300647548581</v>
      </c>
      <c r="M172" s="45">
        <f>I172 / 12</f>
        <v>18016.666666666668</v>
      </c>
      <c r="N172" s="47">
        <f>K172 / 12</f>
        <v>3725.0000000000023</v>
      </c>
    </row>
    <row r="173" spans="2:14" ht="15.75" customHeight="1" x14ac:dyDescent="0.3"/>
    <row r="174" spans="2:14" ht="15.75" customHeight="1" x14ac:dyDescent="0.3"/>
    <row r="175" spans="2:14" ht="15.75" customHeight="1" x14ac:dyDescent="0.3"/>
    <row r="176" spans="2:14" ht="15.75" customHeight="1" x14ac:dyDescent="0.4">
      <c r="B176" s="275" t="s">
        <v>107</v>
      </c>
      <c r="C176" s="276"/>
      <c r="D176" s="276"/>
      <c r="E176" s="276"/>
      <c r="F176" s="276"/>
      <c r="G176" s="276"/>
      <c r="H176" s="50" t="s">
        <v>53</v>
      </c>
      <c r="I176" s="50" t="s">
        <v>53</v>
      </c>
      <c r="J176" s="50" t="s">
        <v>53</v>
      </c>
      <c r="K176" s="50" t="s">
        <v>53</v>
      </c>
      <c r="L176" s="50" t="s">
        <v>53</v>
      </c>
      <c r="M176" s="50" t="s">
        <v>53</v>
      </c>
      <c r="N176" s="51" t="s">
        <v>53</v>
      </c>
    </row>
    <row r="177" spans="2:14" ht="15.75" customHeight="1" x14ac:dyDescent="0.3">
      <c r="B177" s="33" t="s">
        <v>1</v>
      </c>
      <c r="C177" s="34" t="s">
        <v>3</v>
      </c>
      <c r="D177" s="34" t="s">
        <v>2</v>
      </c>
      <c r="E177" s="34" t="s">
        <v>4</v>
      </c>
      <c r="F177" s="34" t="s">
        <v>6</v>
      </c>
      <c r="G177" s="34" t="s">
        <v>5</v>
      </c>
      <c r="H177" s="34"/>
      <c r="I177" s="34" t="s">
        <v>19</v>
      </c>
      <c r="J177" s="34" t="s">
        <v>20</v>
      </c>
      <c r="K177" s="34" t="s">
        <v>21</v>
      </c>
      <c r="L177" s="35" t="s">
        <v>22</v>
      </c>
      <c r="M177" s="34" t="s">
        <v>23</v>
      </c>
      <c r="N177" s="36" t="s">
        <v>24</v>
      </c>
    </row>
    <row r="178" spans="2:14" ht="15.75" customHeight="1" x14ac:dyDescent="0.3">
      <c r="B178" s="55">
        <v>0.13</v>
      </c>
      <c r="C178" s="59">
        <v>0.1</v>
      </c>
      <c r="D178" s="53">
        <v>0.12</v>
      </c>
      <c r="E178" s="53">
        <v>0.1</v>
      </c>
      <c r="F178" s="53">
        <v>0.25</v>
      </c>
      <c r="G178" s="54">
        <v>1880</v>
      </c>
      <c r="H178" s="37"/>
      <c r="I178" s="56">
        <v>169</v>
      </c>
      <c r="J178" s="29">
        <f>F181</f>
        <v>115.69148936170214</v>
      </c>
      <c r="K178" s="29">
        <f>I178 - J178</f>
        <v>53.308510638297861</v>
      </c>
      <c r="L178" s="29">
        <f>1000 / (G178 / 12)</f>
        <v>6.3829787234042561</v>
      </c>
      <c r="M178" s="54" t="s">
        <v>87</v>
      </c>
      <c r="N178" s="38">
        <f>_xlfn.IFS(M178 = "Yes",K178 - L178,M178 = "No",K178)</f>
        <v>46.925531914893604</v>
      </c>
    </row>
    <row r="179" spans="2:14" ht="15.75" customHeight="1" x14ac:dyDescent="0.3">
      <c r="B179" s="39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1"/>
    </row>
    <row r="180" spans="2:14" ht="15.75" customHeight="1" x14ac:dyDescent="0.3">
      <c r="B180" s="33" t="s">
        <v>10</v>
      </c>
      <c r="C180" s="34" t="s">
        <v>11</v>
      </c>
      <c r="D180" s="34" t="s">
        <v>12</v>
      </c>
      <c r="E180" s="34" t="s">
        <v>13</v>
      </c>
      <c r="F180" s="34" t="s">
        <v>14</v>
      </c>
      <c r="G180" s="34" t="s">
        <v>15</v>
      </c>
      <c r="H180" s="34"/>
      <c r="I180" s="34" t="s">
        <v>26</v>
      </c>
      <c r="J180" s="34" t="s">
        <v>27</v>
      </c>
      <c r="K180" s="34" t="s">
        <v>28</v>
      </c>
      <c r="L180" s="30" t="s">
        <v>29</v>
      </c>
      <c r="M180" s="34" t="s">
        <v>30</v>
      </c>
      <c r="N180" s="36" t="s">
        <v>31</v>
      </c>
    </row>
    <row r="181" spans="2:14" ht="15.75" customHeight="1" x14ac:dyDescent="0.3">
      <c r="B181" s="52">
        <v>150000</v>
      </c>
      <c r="C181" s="42">
        <f>B181 / $G178</f>
        <v>79.787234042553195</v>
      </c>
      <c r="D181" s="43">
        <f>SUM($B178,$C178,$D178,$E178)</f>
        <v>0.44999999999999996</v>
      </c>
      <c r="E181" s="42">
        <f>(B181 * D181) / $G178</f>
        <v>35.904255319148938</v>
      </c>
      <c r="F181" s="42">
        <f>C181 + E181</f>
        <v>115.69148936170214</v>
      </c>
      <c r="G181" s="42">
        <f>F181 * (1+$F178)</f>
        <v>144.61436170212767</v>
      </c>
      <c r="H181" s="44"/>
      <c r="I181" s="45">
        <f>G178 * I178</f>
        <v>317720</v>
      </c>
      <c r="J181" s="45">
        <f>_xlfn.IFS(M178 = "Yes",G178 * (J178 + L178),M178 &lt;&gt; "Yes",G178 * (J178))</f>
        <v>229500</v>
      </c>
      <c r="K181" s="45">
        <f>I181 - J181</f>
        <v>88220</v>
      </c>
      <c r="L181" s="46">
        <f>K181 / I181</f>
        <v>0.27766586931889714</v>
      </c>
      <c r="M181" s="45">
        <f>I181 / 12</f>
        <v>26476.666666666668</v>
      </c>
      <c r="N181" s="47">
        <f>K181 / 12</f>
        <v>7351.666666666667</v>
      </c>
    </row>
    <row r="182" spans="2:14" ht="15.75" customHeight="1" x14ac:dyDescent="0.3"/>
    <row r="183" spans="2:14" ht="21.75" customHeight="1" x14ac:dyDescent="0.4">
      <c r="B183" s="275" t="s">
        <v>108</v>
      </c>
      <c r="C183" s="276"/>
      <c r="D183" s="276"/>
      <c r="E183" s="276"/>
      <c r="F183" s="276"/>
      <c r="G183" s="276"/>
      <c r="H183" s="50" t="s">
        <v>53</v>
      </c>
      <c r="I183" s="50" t="s">
        <v>53</v>
      </c>
      <c r="J183" s="50" t="s">
        <v>53</v>
      </c>
      <c r="K183" s="50" t="s">
        <v>53</v>
      </c>
      <c r="L183" s="50" t="s">
        <v>53</v>
      </c>
      <c r="M183" s="50" t="s">
        <v>53</v>
      </c>
      <c r="N183" s="51" t="s">
        <v>53</v>
      </c>
    </row>
    <row r="184" spans="2:14" ht="15.75" customHeight="1" x14ac:dyDescent="0.3">
      <c r="B184" s="33" t="s">
        <v>1</v>
      </c>
      <c r="C184" s="34" t="s">
        <v>3</v>
      </c>
      <c r="D184" s="34" t="s">
        <v>2</v>
      </c>
      <c r="E184" s="34" t="s">
        <v>4</v>
      </c>
      <c r="F184" s="34" t="s">
        <v>6</v>
      </c>
      <c r="G184" s="34" t="s">
        <v>5</v>
      </c>
      <c r="H184" s="34"/>
      <c r="I184" s="34" t="s">
        <v>19</v>
      </c>
      <c r="J184" s="34" t="s">
        <v>20</v>
      </c>
      <c r="K184" s="34" t="s">
        <v>21</v>
      </c>
      <c r="L184" s="35" t="s">
        <v>22</v>
      </c>
      <c r="M184" s="34" t="s">
        <v>23</v>
      </c>
      <c r="N184" s="36" t="s">
        <v>24</v>
      </c>
    </row>
    <row r="185" spans="2:14" ht="15.75" customHeight="1" x14ac:dyDescent="0.3">
      <c r="B185" s="55">
        <v>0.03</v>
      </c>
      <c r="C185" s="59">
        <v>0.1</v>
      </c>
      <c r="D185" s="53">
        <v>0.12</v>
      </c>
      <c r="E185" s="53">
        <v>0.1</v>
      </c>
      <c r="F185" s="53">
        <v>0.25</v>
      </c>
      <c r="G185" s="54">
        <v>1880</v>
      </c>
      <c r="H185" s="37"/>
      <c r="I185" s="56">
        <v>150</v>
      </c>
      <c r="J185" s="29">
        <f>F188</f>
        <v>104.12234042553192</v>
      </c>
      <c r="K185" s="29">
        <f>I185 - J185</f>
        <v>45.877659574468083</v>
      </c>
      <c r="L185" s="29">
        <f>1000 / (G185 / 12)</f>
        <v>6.3829787234042561</v>
      </c>
      <c r="M185" s="54" t="s">
        <v>87</v>
      </c>
      <c r="N185" s="38">
        <f>_xlfn.IFS(M185 = "Yes",K185 - L185,M185 = "No",K185)</f>
        <v>39.494680851063826</v>
      </c>
    </row>
    <row r="186" spans="2:14" ht="15.75" customHeight="1" x14ac:dyDescent="0.3">
      <c r="B186" s="39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1"/>
    </row>
    <row r="187" spans="2:14" ht="32.25" customHeight="1" x14ac:dyDescent="0.3">
      <c r="B187" s="33" t="s">
        <v>10</v>
      </c>
      <c r="C187" s="34" t="s">
        <v>11</v>
      </c>
      <c r="D187" s="34" t="s">
        <v>12</v>
      </c>
      <c r="E187" s="34" t="s">
        <v>13</v>
      </c>
      <c r="F187" s="34" t="s">
        <v>14</v>
      </c>
      <c r="G187" s="34" t="s">
        <v>15</v>
      </c>
      <c r="H187" s="34"/>
      <c r="I187" s="34" t="s">
        <v>26</v>
      </c>
      <c r="J187" s="34" t="s">
        <v>27</v>
      </c>
      <c r="K187" s="34" t="s">
        <v>28</v>
      </c>
      <c r="L187" s="30" t="s">
        <v>29</v>
      </c>
      <c r="M187" s="34" t="s">
        <v>30</v>
      </c>
      <c r="N187" s="36" t="s">
        <v>31</v>
      </c>
    </row>
    <row r="188" spans="2:14" ht="15.75" customHeight="1" x14ac:dyDescent="0.3">
      <c r="B188" s="52">
        <v>145000</v>
      </c>
      <c r="C188" s="42">
        <f>B188 / $G185</f>
        <v>77.127659574468083</v>
      </c>
      <c r="D188" s="43">
        <f>SUM($B185,$C185,$D185,$E185)</f>
        <v>0.35</v>
      </c>
      <c r="E188" s="42">
        <f>(B188 * D188) / $G185</f>
        <v>26.99468085106383</v>
      </c>
      <c r="F188" s="42">
        <f>C188 + E188</f>
        <v>104.12234042553192</v>
      </c>
      <c r="G188" s="42">
        <f>F188 * (1+$F185)</f>
        <v>130.15292553191489</v>
      </c>
      <c r="H188" s="44"/>
      <c r="I188" s="45">
        <f>G185 * I185</f>
        <v>282000</v>
      </c>
      <c r="J188" s="45">
        <f>_xlfn.IFS(M185 = "Yes",G185 * (J185 + L185),M185 &lt;&gt; "Yes",G185 * (J185))</f>
        <v>207750</v>
      </c>
      <c r="K188" s="45">
        <f>I188 - J188</f>
        <v>74250</v>
      </c>
      <c r="L188" s="46">
        <f>K188 / I188</f>
        <v>0.26329787234042551</v>
      </c>
      <c r="M188" s="45">
        <f>I188 / 12</f>
        <v>23500</v>
      </c>
      <c r="N188" s="47">
        <f>K188 / 12</f>
        <v>6187.5</v>
      </c>
    </row>
    <row r="189" spans="2:14" ht="15.75" customHeight="1" x14ac:dyDescent="0.3"/>
    <row r="190" spans="2:14" ht="15.75" customHeight="1" x14ac:dyDescent="0.4">
      <c r="B190" s="275" t="s">
        <v>109</v>
      </c>
      <c r="C190" s="276"/>
      <c r="D190" s="276"/>
      <c r="E190" s="276"/>
      <c r="F190" s="276"/>
      <c r="G190" s="276"/>
      <c r="H190" s="50" t="s">
        <v>53</v>
      </c>
      <c r="I190" s="50" t="s">
        <v>53</v>
      </c>
      <c r="J190" s="50" t="s">
        <v>53</v>
      </c>
      <c r="K190" s="50" t="s">
        <v>53</v>
      </c>
      <c r="L190" s="50" t="s">
        <v>53</v>
      </c>
      <c r="M190" s="50" t="s">
        <v>53</v>
      </c>
      <c r="N190" s="51" t="s">
        <v>53</v>
      </c>
    </row>
    <row r="191" spans="2:14" ht="43.2" x14ac:dyDescent="0.3">
      <c r="B191" s="33" t="s">
        <v>1</v>
      </c>
      <c r="C191" s="34" t="s">
        <v>3</v>
      </c>
      <c r="D191" s="34" t="s">
        <v>2</v>
      </c>
      <c r="E191" s="34" t="s">
        <v>4</v>
      </c>
      <c r="F191" s="34" t="s">
        <v>6</v>
      </c>
      <c r="G191" s="34" t="s">
        <v>5</v>
      </c>
      <c r="H191" s="34"/>
      <c r="I191" s="34" t="s">
        <v>19</v>
      </c>
      <c r="J191" s="34" t="s">
        <v>20</v>
      </c>
      <c r="K191" s="34" t="s">
        <v>21</v>
      </c>
      <c r="L191" s="35" t="s">
        <v>22</v>
      </c>
      <c r="M191" s="34" t="s">
        <v>23</v>
      </c>
      <c r="N191" s="36" t="s">
        <v>24</v>
      </c>
    </row>
    <row r="192" spans="2:14" ht="15.75" customHeight="1" x14ac:dyDescent="0.3">
      <c r="B192" s="55">
        <v>0.13</v>
      </c>
      <c r="C192" s="59">
        <v>0.1</v>
      </c>
      <c r="D192" s="53">
        <v>0.12</v>
      </c>
      <c r="E192" s="53">
        <v>0.1</v>
      </c>
      <c r="F192" s="53">
        <v>0.25</v>
      </c>
      <c r="G192" s="54">
        <v>1880</v>
      </c>
      <c r="H192" s="37"/>
      <c r="I192" s="56">
        <v>147</v>
      </c>
      <c r="J192" s="29">
        <f>F195</f>
        <v>104.12234042553192</v>
      </c>
      <c r="K192" s="29">
        <f>I192 - J192</f>
        <v>42.877659574468083</v>
      </c>
      <c r="L192" s="29">
        <f>1000 / (G192 / 12)</f>
        <v>6.3829787234042561</v>
      </c>
      <c r="M192" s="54" t="s">
        <v>87</v>
      </c>
      <c r="N192" s="38">
        <f>_xlfn.IFS(M192 = "Yes",K192 - L192,M192 = "No",K192)</f>
        <v>36.494680851063826</v>
      </c>
    </row>
    <row r="193" spans="2:14" ht="15.75" customHeight="1" x14ac:dyDescent="0.3">
      <c r="B193" s="39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1"/>
    </row>
    <row r="194" spans="2:14" ht="43.2" x14ac:dyDescent="0.3">
      <c r="B194" s="33" t="s">
        <v>10</v>
      </c>
      <c r="C194" s="34" t="s">
        <v>11</v>
      </c>
      <c r="D194" s="34" t="s">
        <v>12</v>
      </c>
      <c r="E194" s="34" t="s">
        <v>13</v>
      </c>
      <c r="F194" s="34" t="s">
        <v>14</v>
      </c>
      <c r="G194" s="34" t="s">
        <v>15</v>
      </c>
      <c r="H194" s="34"/>
      <c r="I194" s="34" t="s">
        <v>26</v>
      </c>
      <c r="J194" s="34" t="s">
        <v>27</v>
      </c>
      <c r="K194" s="34" t="s">
        <v>28</v>
      </c>
      <c r="L194" s="30" t="s">
        <v>29</v>
      </c>
      <c r="M194" s="34" t="s">
        <v>30</v>
      </c>
      <c r="N194" s="36" t="s">
        <v>31</v>
      </c>
    </row>
    <row r="195" spans="2:14" ht="15.75" customHeight="1" x14ac:dyDescent="0.3">
      <c r="B195" s="52">
        <v>135000</v>
      </c>
      <c r="C195" s="42">
        <f>B195 / $G192</f>
        <v>71.808510638297875</v>
      </c>
      <c r="D195" s="43">
        <f>SUM($B192,$C192,$D192,$E192)</f>
        <v>0.44999999999999996</v>
      </c>
      <c r="E195" s="42">
        <f>(B195 * D195) / $G192</f>
        <v>32.313829787234042</v>
      </c>
      <c r="F195" s="42">
        <f>C195 + E195</f>
        <v>104.12234042553192</v>
      </c>
      <c r="G195" s="42">
        <f>F195 * (1+$F192)</f>
        <v>130.15292553191489</v>
      </c>
      <c r="H195" s="44"/>
      <c r="I195" s="45">
        <f>G192 * I192</f>
        <v>276360</v>
      </c>
      <c r="J195" s="45">
        <f>_xlfn.IFS(M192 = "Yes",G192 * (J192 + L192),M192 &lt;&gt; "Yes",G192 * (J192))</f>
        <v>207750</v>
      </c>
      <c r="K195" s="45">
        <f>I195 - J195</f>
        <v>68610</v>
      </c>
      <c r="L195" s="46">
        <f>K195 / I195</f>
        <v>0.24826313504125055</v>
      </c>
      <c r="M195" s="45">
        <f>I195 / 12</f>
        <v>23030</v>
      </c>
      <c r="N195" s="47">
        <f>K195 / 12</f>
        <v>5717.5</v>
      </c>
    </row>
    <row r="196" spans="2:14" ht="15.75" customHeight="1" x14ac:dyDescent="0.3"/>
    <row r="197" spans="2:14" ht="21" x14ac:dyDescent="0.4">
      <c r="B197" s="275" t="s">
        <v>110</v>
      </c>
      <c r="C197" s="276"/>
      <c r="D197" s="276"/>
      <c r="E197" s="276"/>
      <c r="F197" s="276"/>
      <c r="G197" s="276"/>
      <c r="H197" s="50" t="s">
        <v>53</v>
      </c>
      <c r="I197" s="50" t="s">
        <v>53</v>
      </c>
      <c r="J197" s="50" t="s">
        <v>53</v>
      </c>
      <c r="K197" s="50" t="s">
        <v>53</v>
      </c>
      <c r="L197" s="50" t="s">
        <v>53</v>
      </c>
      <c r="M197" s="50" t="s">
        <v>53</v>
      </c>
      <c r="N197" s="51" t="s">
        <v>53</v>
      </c>
    </row>
    <row r="198" spans="2:14" ht="43.2" x14ac:dyDescent="0.3">
      <c r="B198" s="33" t="s">
        <v>1</v>
      </c>
      <c r="C198" s="34" t="s">
        <v>3</v>
      </c>
      <c r="D198" s="34" t="s">
        <v>2</v>
      </c>
      <c r="E198" s="34" t="s">
        <v>4</v>
      </c>
      <c r="F198" s="34" t="s">
        <v>6</v>
      </c>
      <c r="G198" s="34" t="s">
        <v>5</v>
      </c>
      <c r="H198" s="34"/>
      <c r="I198" s="34" t="s">
        <v>19</v>
      </c>
      <c r="J198" s="34" t="s">
        <v>20</v>
      </c>
      <c r="K198" s="34" t="s">
        <v>21</v>
      </c>
      <c r="L198" s="35" t="s">
        <v>22</v>
      </c>
      <c r="M198" s="34" t="s">
        <v>23</v>
      </c>
      <c r="N198" s="36" t="s">
        <v>24</v>
      </c>
    </row>
    <row r="199" spans="2:14" ht="15.75" customHeight="1" x14ac:dyDescent="0.3">
      <c r="B199" s="55">
        <v>0.03</v>
      </c>
      <c r="C199" s="59"/>
      <c r="D199" s="53">
        <v>0.12</v>
      </c>
      <c r="E199" s="53">
        <v>0.1</v>
      </c>
      <c r="F199" s="53">
        <v>0.25</v>
      </c>
      <c r="G199" s="54">
        <v>1880</v>
      </c>
      <c r="H199" s="37"/>
      <c r="I199" s="56">
        <v>169</v>
      </c>
      <c r="J199" s="29">
        <f>F202</f>
        <v>132.97872340425531</v>
      </c>
      <c r="K199" s="29">
        <f>I199 - J199</f>
        <v>36.021276595744695</v>
      </c>
      <c r="L199" s="29">
        <f>1000 / (G199 / 12)</f>
        <v>6.3829787234042561</v>
      </c>
      <c r="M199" s="54" t="s">
        <v>32</v>
      </c>
      <c r="N199" s="38">
        <f>_xlfn.IFS(M199 = "Yes",K199 - L199,M199 = "No",K199)</f>
        <v>36.021276595744695</v>
      </c>
    </row>
    <row r="200" spans="2:14" ht="15.75" customHeight="1" x14ac:dyDescent="0.3">
      <c r="B200" s="39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1"/>
    </row>
    <row r="201" spans="2:14" ht="15.75" customHeight="1" x14ac:dyDescent="0.3">
      <c r="B201" s="33" t="s">
        <v>10</v>
      </c>
      <c r="C201" s="34" t="s">
        <v>11</v>
      </c>
      <c r="D201" s="34" t="s">
        <v>12</v>
      </c>
      <c r="E201" s="34" t="s">
        <v>13</v>
      </c>
      <c r="F201" s="34" t="s">
        <v>14</v>
      </c>
      <c r="G201" s="34" t="s">
        <v>15</v>
      </c>
      <c r="H201" s="34"/>
      <c r="I201" s="34" t="s">
        <v>26</v>
      </c>
      <c r="J201" s="34" t="s">
        <v>27</v>
      </c>
      <c r="K201" s="34" t="s">
        <v>28</v>
      </c>
      <c r="L201" s="30" t="s">
        <v>29</v>
      </c>
      <c r="M201" s="34" t="s">
        <v>30</v>
      </c>
      <c r="N201" s="36" t="s">
        <v>31</v>
      </c>
    </row>
    <row r="202" spans="2:14" ht="15.75" customHeight="1" x14ac:dyDescent="0.3">
      <c r="B202" s="52">
        <v>200000</v>
      </c>
      <c r="C202" s="42">
        <f>B202 / $G199</f>
        <v>106.38297872340425</v>
      </c>
      <c r="D202" s="43">
        <f>SUM($B199,$C199,$D199,$E199)</f>
        <v>0.25</v>
      </c>
      <c r="E202" s="42">
        <f>(B202 * D202) / $G199</f>
        <v>26.595744680851062</v>
      </c>
      <c r="F202" s="42">
        <f>C202 + E202</f>
        <v>132.97872340425531</v>
      </c>
      <c r="G202" s="42">
        <f>F202 * (1+$F199)</f>
        <v>166.22340425531914</v>
      </c>
      <c r="H202" s="44"/>
      <c r="I202" s="45">
        <f>G199 * I199</f>
        <v>317720</v>
      </c>
      <c r="J202" s="45">
        <f>_xlfn.IFS(M199 = "Yes",G199 * (J199 + L199),M199 &lt;&gt; "Yes",G199 * (J199))</f>
        <v>249999.99999999997</v>
      </c>
      <c r="K202" s="45">
        <f>I202 - J202</f>
        <v>67720.000000000029</v>
      </c>
      <c r="L202" s="46">
        <f>K202 / I202</f>
        <v>0.21314364849553075</v>
      </c>
      <c r="M202" s="45">
        <f>I202 / 12</f>
        <v>26476.666666666668</v>
      </c>
      <c r="N202" s="47">
        <f>K202 / 12</f>
        <v>5643.3333333333358</v>
      </c>
    </row>
    <row r="203" spans="2:14" ht="15.75" customHeight="1" x14ac:dyDescent="0.3"/>
    <row r="204" spans="2:14" ht="15.75" customHeight="1" x14ac:dyDescent="0.4">
      <c r="B204" s="275" t="s">
        <v>111</v>
      </c>
      <c r="C204" s="276"/>
      <c r="D204" s="276"/>
      <c r="E204" s="276"/>
      <c r="F204" s="276"/>
      <c r="G204" s="276"/>
      <c r="H204" s="50" t="s">
        <v>53</v>
      </c>
      <c r="I204" s="50" t="s">
        <v>53</v>
      </c>
      <c r="J204" s="50" t="s">
        <v>53</v>
      </c>
      <c r="K204" s="50" t="s">
        <v>53</v>
      </c>
      <c r="L204" s="50" t="s">
        <v>53</v>
      </c>
      <c r="M204" s="50" t="s">
        <v>53</v>
      </c>
      <c r="N204" s="51" t="s">
        <v>53</v>
      </c>
    </row>
    <row r="205" spans="2:14" ht="43.2" x14ac:dyDescent="0.3">
      <c r="B205" s="33" t="s">
        <v>1</v>
      </c>
      <c r="C205" s="34" t="s">
        <v>3</v>
      </c>
      <c r="D205" s="34" t="s">
        <v>2</v>
      </c>
      <c r="E205" s="34" t="s">
        <v>4</v>
      </c>
      <c r="F205" s="34" t="s">
        <v>6</v>
      </c>
      <c r="G205" s="34" t="s">
        <v>5</v>
      </c>
      <c r="H205" s="34"/>
      <c r="I205" s="34" t="s">
        <v>19</v>
      </c>
      <c r="J205" s="34" t="s">
        <v>20</v>
      </c>
      <c r="K205" s="34" t="s">
        <v>21</v>
      </c>
      <c r="L205" s="35" t="s">
        <v>22</v>
      </c>
      <c r="M205" s="34" t="s">
        <v>23</v>
      </c>
      <c r="N205" s="36" t="s">
        <v>24</v>
      </c>
    </row>
    <row r="206" spans="2:14" ht="15.75" customHeight="1" x14ac:dyDescent="0.3">
      <c r="B206" s="55">
        <v>0.13</v>
      </c>
      <c r="C206" s="59">
        <v>0.05</v>
      </c>
      <c r="D206" s="53">
        <v>0.12</v>
      </c>
      <c r="E206" s="53">
        <v>0.1</v>
      </c>
      <c r="F206" s="53">
        <v>0.25</v>
      </c>
      <c r="G206" s="54">
        <v>1880</v>
      </c>
      <c r="H206" s="37"/>
      <c r="I206" s="56">
        <v>120</v>
      </c>
      <c r="J206" s="29">
        <f>F209</f>
        <v>85.638297872340416</v>
      </c>
      <c r="K206" s="29">
        <f>I206 - J206</f>
        <v>34.361702127659584</v>
      </c>
      <c r="L206" s="29">
        <f>1000 / (G206 / 12)</f>
        <v>6.3829787234042561</v>
      </c>
      <c r="M206" s="54" t="s">
        <v>87</v>
      </c>
      <c r="N206" s="38">
        <f>_xlfn.IFS(M206 = "Yes",K206 - L206,M206 = "No",K206)</f>
        <v>27.978723404255327</v>
      </c>
    </row>
    <row r="207" spans="2:14" ht="15.75" customHeight="1" x14ac:dyDescent="0.3">
      <c r="B207" s="39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1"/>
    </row>
    <row r="208" spans="2:14" ht="29.25" customHeight="1" x14ac:dyDescent="0.3">
      <c r="B208" s="33" t="s">
        <v>10</v>
      </c>
      <c r="C208" s="34" t="s">
        <v>11</v>
      </c>
      <c r="D208" s="34" t="s">
        <v>12</v>
      </c>
      <c r="E208" s="34" t="s">
        <v>13</v>
      </c>
      <c r="F208" s="34" t="s">
        <v>14</v>
      </c>
      <c r="G208" s="34" t="s">
        <v>15</v>
      </c>
      <c r="H208" s="34"/>
      <c r="I208" s="34" t="s">
        <v>26</v>
      </c>
      <c r="J208" s="34" t="s">
        <v>27</v>
      </c>
      <c r="K208" s="34" t="s">
        <v>28</v>
      </c>
      <c r="L208" s="30" t="s">
        <v>29</v>
      </c>
      <c r="M208" s="34" t="s">
        <v>30</v>
      </c>
      <c r="N208" s="36" t="s">
        <v>31</v>
      </c>
    </row>
    <row r="209" spans="2:18" ht="15.75" customHeight="1" x14ac:dyDescent="0.3">
      <c r="B209" s="52">
        <v>115000</v>
      </c>
      <c r="C209" s="42">
        <f>B209 / $G206</f>
        <v>61.170212765957444</v>
      </c>
      <c r="D209" s="43">
        <f>SUM($B206,$C206,$D206,$E206)</f>
        <v>0.4</v>
      </c>
      <c r="E209" s="42">
        <f>(B209 * D209) / $G206</f>
        <v>24.468085106382979</v>
      </c>
      <c r="F209" s="42">
        <f>C209 + E209</f>
        <v>85.638297872340416</v>
      </c>
      <c r="G209" s="42">
        <f>F209 * (1+$F206)</f>
        <v>107.04787234042553</v>
      </c>
      <c r="H209" s="44"/>
      <c r="I209" s="45">
        <f>G206 * I206</f>
        <v>225600</v>
      </c>
      <c r="J209" s="45">
        <f>_xlfn.IFS(M206 = "Yes",G206 * (J206 + L206),M206 &lt;&gt; "Yes",G206 * (J206))</f>
        <v>172999.99999999997</v>
      </c>
      <c r="K209" s="45">
        <f>I209 - J209</f>
        <v>52600.000000000029</v>
      </c>
      <c r="L209" s="46">
        <f>K209 / I209</f>
        <v>0.23315602836879445</v>
      </c>
      <c r="M209" s="45">
        <f>I209 / 12</f>
        <v>18800</v>
      </c>
      <c r="N209" s="47">
        <f>K209 / 12</f>
        <v>4383.3333333333358</v>
      </c>
    </row>
    <row r="210" spans="2:18" ht="15.75" customHeight="1" x14ac:dyDescent="0.3"/>
    <row r="211" spans="2:18" ht="15.75" customHeight="1" x14ac:dyDescent="0.3"/>
    <row r="212" spans="2:18" ht="21" x14ac:dyDescent="0.4">
      <c r="B212" s="275" t="s">
        <v>112</v>
      </c>
      <c r="C212" s="276"/>
      <c r="D212" s="276"/>
      <c r="E212" s="276"/>
      <c r="F212" s="276"/>
      <c r="G212" s="276"/>
      <c r="H212" s="50" t="s">
        <v>53</v>
      </c>
      <c r="I212" s="50" t="s">
        <v>53</v>
      </c>
      <c r="J212" s="50" t="s">
        <v>53</v>
      </c>
      <c r="K212" s="50" t="s">
        <v>53</v>
      </c>
      <c r="L212" s="50" t="s">
        <v>53</v>
      </c>
      <c r="M212" s="50" t="s">
        <v>53</v>
      </c>
      <c r="N212" s="51" t="s">
        <v>53</v>
      </c>
    </row>
    <row r="213" spans="2:18" ht="43.2" x14ac:dyDescent="0.3">
      <c r="B213" s="33" t="s">
        <v>1</v>
      </c>
      <c r="C213" s="34" t="s">
        <v>3</v>
      </c>
      <c r="D213" s="34" t="s">
        <v>2</v>
      </c>
      <c r="E213" s="34" t="s">
        <v>4</v>
      </c>
      <c r="F213" s="34" t="s">
        <v>6</v>
      </c>
      <c r="G213" s="34" t="s">
        <v>5</v>
      </c>
      <c r="H213" s="34"/>
      <c r="I213" s="34" t="s">
        <v>19</v>
      </c>
      <c r="J213" s="34" t="s">
        <v>20</v>
      </c>
      <c r="K213" s="34" t="s">
        <v>21</v>
      </c>
      <c r="L213" s="35" t="s">
        <v>22</v>
      </c>
      <c r="M213" s="34" t="s">
        <v>23</v>
      </c>
      <c r="N213" s="36" t="s">
        <v>24</v>
      </c>
    </row>
    <row r="214" spans="2:18" ht="15.75" customHeight="1" x14ac:dyDescent="0.3">
      <c r="B214" s="55">
        <v>0.13</v>
      </c>
      <c r="C214" s="59">
        <v>0.05</v>
      </c>
      <c r="D214" s="53">
        <v>0.12</v>
      </c>
      <c r="E214" s="53">
        <v>0.1</v>
      </c>
      <c r="F214" s="53">
        <v>0.25</v>
      </c>
      <c r="G214" s="54">
        <v>1880</v>
      </c>
      <c r="H214" s="37"/>
      <c r="I214" s="56">
        <v>140</v>
      </c>
      <c r="J214" s="29">
        <f>F217</f>
        <v>103.13829787234042</v>
      </c>
      <c r="K214" s="29">
        <f>I214 - J214</f>
        <v>36.861702127659584</v>
      </c>
      <c r="L214" s="29">
        <f>1000 / (G214 / 12)</f>
        <v>6.3829787234042561</v>
      </c>
      <c r="M214" s="54" t="s">
        <v>32</v>
      </c>
      <c r="N214" s="38">
        <f>_xlfn.IFS(M214 = "Yes",K214 - L214,M214 = "No",K214)</f>
        <v>36.861702127659584</v>
      </c>
    </row>
    <row r="215" spans="2:18" ht="15.75" customHeight="1" x14ac:dyDescent="0.3">
      <c r="B215" s="39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1"/>
    </row>
    <row r="216" spans="2:18" ht="29.25" customHeight="1" x14ac:dyDescent="0.3">
      <c r="B216" s="33" t="s">
        <v>10</v>
      </c>
      <c r="C216" s="34" t="s">
        <v>11</v>
      </c>
      <c r="D216" s="34" t="s">
        <v>12</v>
      </c>
      <c r="E216" s="34" t="s">
        <v>13</v>
      </c>
      <c r="F216" s="34" t="s">
        <v>14</v>
      </c>
      <c r="G216" s="34" t="s">
        <v>15</v>
      </c>
      <c r="H216" s="34"/>
      <c r="I216" s="34" t="s">
        <v>26</v>
      </c>
      <c r="J216" s="34" t="s">
        <v>27</v>
      </c>
      <c r="K216" s="34" t="s">
        <v>28</v>
      </c>
      <c r="L216" s="30" t="s">
        <v>29</v>
      </c>
      <c r="M216" s="34" t="s">
        <v>30</v>
      </c>
      <c r="N216" s="36" t="s">
        <v>31</v>
      </c>
      <c r="R216" s="63"/>
    </row>
    <row r="217" spans="2:18" ht="15.75" customHeight="1" x14ac:dyDescent="0.3">
      <c r="B217" s="52">
        <v>138500</v>
      </c>
      <c r="C217" s="42">
        <f>B217 / $G214</f>
        <v>73.670212765957444</v>
      </c>
      <c r="D217" s="43">
        <f>SUM($B214,$C214,$D214,$E214)</f>
        <v>0.4</v>
      </c>
      <c r="E217" s="42">
        <f>(B217 * D217) / $G214</f>
        <v>29.468085106382979</v>
      </c>
      <c r="F217" s="42">
        <f>C217 + E217</f>
        <v>103.13829787234042</v>
      </c>
      <c r="G217" s="42">
        <f>F217 * (1+$F214)</f>
        <v>128.92287234042553</v>
      </c>
      <c r="H217" s="44"/>
      <c r="I217" s="45">
        <f>G214 * I214</f>
        <v>263200</v>
      </c>
      <c r="J217" s="45">
        <f>_xlfn.IFS(M214 = "Yes",G214 * (J214 + L214),M214 &lt;&gt; "Yes",G214 * (J214))</f>
        <v>193899.99999999997</v>
      </c>
      <c r="K217" s="45">
        <f>I217 - J217</f>
        <v>69300.000000000029</v>
      </c>
      <c r="L217" s="46">
        <f>K217 / I217</f>
        <v>0.26329787234042562</v>
      </c>
      <c r="M217" s="45">
        <f>I217 / 12</f>
        <v>21933.333333333332</v>
      </c>
      <c r="N217" s="47">
        <f>K217 / 12</f>
        <v>5775.0000000000027</v>
      </c>
    </row>
    <row r="218" spans="2:18" ht="15.75" customHeight="1" x14ac:dyDescent="0.3"/>
    <row r="219" spans="2:18" ht="15.75" customHeight="1" x14ac:dyDescent="0.3"/>
    <row r="220" spans="2:18" ht="15.75" customHeight="1" x14ac:dyDescent="0.4">
      <c r="B220" s="275" t="s">
        <v>113</v>
      </c>
      <c r="C220" s="276"/>
      <c r="D220" s="276"/>
      <c r="E220" s="276"/>
      <c r="F220" s="276"/>
      <c r="G220" s="276"/>
      <c r="H220" s="50" t="s">
        <v>53</v>
      </c>
      <c r="I220" s="50" t="s">
        <v>53</v>
      </c>
      <c r="J220" s="50" t="s">
        <v>53</v>
      </c>
      <c r="K220" s="50" t="s">
        <v>53</v>
      </c>
      <c r="L220" s="50" t="s">
        <v>53</v>
      </c>
      <c r="M220" s="50" t="s">
        <v>53</v>
      </c>
      <c r="N220" s="51" t="s">
        <v>53</v>
      </c>
    </row>
    <row r="221" spans="2:18" ht="15.75" customHeight="1" x14ac:dyDescent="0.3">
      <c r="B221" s="33" t="s">
        <v>1</v>
      </c>
      <c r="C221" s="34" t="s">
        <v>3</v>
      </c>
      <c r="D221" s="34" t="s">
        <v>2</v>
      </c>
      <c r="E221" s="34" t="s">
        <v>4</v>
      </c>
      <c r="F221" s="34" t="s">
        <v>6</v>
      </c>
      <c r="G221" s="34" t="s">
        <v>5</v>
      </c>
      <c r="H221" s="34"/>
      <c r="I221" s="34" t="s">
        <v>19</v>
      </c>
      <c r="J221" s="34" t="s">
        <v>20</v>
      </c>
      <c r="K221" s="34" t="s">
        <v>21</v>
      </c>
      <c r="L221" s="35" t="s">
        <v>22</v>
      </c>
      <c r="M221" s="34" t="s">
        <v>23</v>
      </c>
      <c r="N221" s="36" t="s">
        <v>24</v>
      </c>
    </row>
    <row r="222" spans="2:18" ht="15.75" customHeight="1" x14ac:dyDescent="0.3">
      <c r="B222" s="55">
        <v>0.03</v>
      </c>
      <c r="C222" s="59">
        <v>0.05</v>
      </c>
      <c r="D222" s="53">
        <v>0.12</v>
      </c>
      <c r="E222" s="53">
        <v>0.1</v>
      </c>
      <c r="F222" s="53">
        <v>0.25</v>
      </c>
      <c r="G222" s="54">
        <v>1880</v>
      </c>
      <c r="H222" s="37"/>
      <c r="I222" s="56">
        <v>150</v>
      </c>
      <c r="J222" s="29">
        <f>F225</f>
        <v>93.351063829787236</v>
      </c>
      <c r="K222" s="29">
        <f>I222 - J222</f>
        <v>56.648936170212764</v>
      </c>
      <c r="L222" s="29">
        <f>1000 / (G222 / 12)</f>
        <v>6.3829787234042561</v>
      </c>
      <c r="M222" s="54" t="s">
        <v>87</v>
      </c>
      <c r="N222" s="38">
        <f>_xlfn.IFS(M222 = "Yes",K222 - L222,M222 = "No",K222)</f>
        <v>50.265957446808507</v>
      </c>
    </row>
    <row r="223" spans="2:18" ht="15.75" customHeight="1" x14ac:dyDescent="0.3">
      <c r="B223" s="39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1"/>
    </row>
    <row r="224" spans="2:18" ht="43.2" x14ac:dyDescent="0.3">
      <c r="B224" s="33" t="s">
        <v>10</v>
      </c>
      <c r="C224" s="34" t="s">
        <v>11</v>
      </c>
      <c r="D224" s="34" t="s">
        <v>12</v>
      </c>
      <c r="E224" s="34" t="s">
        <v>13</v>
      </c>
      <c r="F224" s="34" t="s">
        <v>14</v>
      </c>
      <c r="G224" s="34" t="s">
        <v>15</v>
      </c>
      <c r="H224" s="34"/>
      <c r="I224" s="34" t="s">
        <v>26</v>
      </c>
      <c r="J224" s="34" t="s">
        <v>27</v>
      </c>
      <c r="K224" s="34" t="s">
        <v>28</v>
      </c>
      <c r="L224" s="30" t="s">
        <v>29</v>
      </c>
      <c r="M224" s="34" t="s">
        <v>30</v>
      </c>
      <c r="N224" s="36" t="s">
        <v>31</v>
      </c>
    </row>
    <row r="225" spans="2:14" ht="15.75" customHeight="1" x14ac:dyDescent="0.3">
      <c r="B225" s="52">
        <v>135000</v>
      </c>
      <c r="C225" s="42">
        <f>B225 / $G222</f>
        <v>71.808510638297875</v>
      </c>
      <c r="D225" s="43">
        <f>SUM($B222,$C222,$D222,$E222)</f>
        <v>0.30000000000000004</v>
      </c>
      <c r="E225" s="42">
        <f>(B225 * D225) / $G222</f>
        <v>21.542553191489365</v>
      </c>
      <c r="F225" s="42">
        <f>C225 + E225</f>
        <v>93.351063829787236</v>
      </c>
      <c r="G225" s="42">
        <f>F225 * (1+$F222)</f>
        <v>116.68882978723404</v>
      </c>
      <c r="H225" s="44"/>
      <c r="I225" s="45">
        <f>G222 * I222</f>
        <v>282000</v>
      </c>
      <c r="J225" s="45">
        <f>_xlfn.IFS(M222 = "Yes",G222 * (J222 + L222),M222 &lt;&gt; "Yes",G222 * (J222))</f>
        <v>187500</v>
      </c>
      <c r="K225" s="45">
        <f>I225 - J225</f>
        <v>94500</v>
      </c>
      <c r="L225" s="46">
        <f>K225 / I225</f>
        <v>0.33510638297872342</v>
      </c>
      <c r="M225" s="45">
        <f>I225 / 12</f>
        <v>23500</v>
      </c>
      <c r="N225" s="47">
        <f>K225 / 12</f>
        <v>7875</v>
      </c>
    </row>
    <row r="226" spans="2:14" ht="15.75" customHeight="1" x14ac:dyDescent="0.3"/>
    <row r="227" spans="2:14" ht="15.75" customHeight="1" x14ac:dyDescent="0.3"/>
    <row r="228" spans="2:14" ht="15.75" customHeight="1" x14ac:dyDescent="0.4">
      <c r="B228" s="275" t="s">
        <v>114</v>
      </c>
      <c r="C228" s="276"/>
      <c r="D228" s="276"/>
      <c r="E228" s="276"/>
      <c r="F228" s="276"/>
      <c r="G228" s="276"/>
      <c r="H228" s="50" t="s">
        <v>53</v>
      </c>
      <c r="I228" s="50" t="s">
        <v>53</v>
      </c>
      <c r="J228" s="50" t="s">
        <v>53</v>
      </c>
      <c r="K228" s="50" t="s">
        <v>53</v>
      </c>
      <c r="L228" s="50" t="s">
        <v>53</v>
      </c>
      <c r="M228" s="50" t="s">
        <v>53</v>
      </c>
      <c r="N228" s="51" t="s">
        <v>53</v>
      </c>
    </row>
    <row r="229" spans="2:14" ht="15.75" customHeight="1" x14ac:dyDescent="0.3">
      <c r="B229" s="33" t="s">
        <v>1</v>
      </c>
      <c r="C229" s="34" t="s">
        <v>3</v>
      </c>
      <c r="D229" s="34" t="s">
        <v>2</v>
      </c>
      <c r="E229" s="34" t="s">
        <v>4</v>
      </c>
      <c r="F229" s="34" t="s">
        <v>6</v>
      </c>
      <c r="G229" s="34" t="s">
        <v>5</v>
      </c>
      <c r="H229" s="34"/>
      <c r="I229" s="34" t="s">
        <v>19</v>
      </c>
      <c r="J229" s="34" t="s">
        <v>20</v>
      </c>
      <c r="K229" s="34" t="s">
        <v>21</v>
      </c>
      <c r="L229" s="35" t="s">
        <v>22</v>
      </c>
      <c r="M229" s="34" t="s">
        <v>23</v>
      </c>
      <c r="N229" s="36" t="s">
        <v>24</v>
      </c>
    </row>
    <row r="230" spans="2:14" ht="15.75" customHeight="1" x14ac:dyDescent="0.3">
      <c r="B230" s="55">
        <v>0.03</v>
      </c>
      <c r="C230" s="59">
        <v>0.1</v>
      </c>
      <c r="D230" s="53">
        <v>0.12</v>
      </c>
      <c r="E230" s="53">
        <v>0.1</v>
      </c>
      <c r="F230" s="53">
        <v>0.25</v>
      </c>
      <c r="G230" s="54">
        <v>1880</v>
      </c>
      <c r="H230" s="37"/>
      <c r="I230" s="56">
        <v>150</v>
      </c>
      <c r="J230" s="29">
        <f>F233</f>
        <v>111.30319148936169</v>
      </c>
      <c r="K230" s="29">
        <f>I230 - J230</f>
        <v>38.696808510638306</v>
      </c>
      <c r="L230" s="29">
        <f>1000 / (G230 / 12)</f>
        <v>6.3829787234042561</v>
      </c>
      <c r="M230" s="54" t="s">
        <v>87</v>
      </c>
      <c r="N230" s="38">
        <f>_xlfn.IFS(M230 = "Yes",K230 - L230,M230 = "No",K230)</f>
        <v>32.313829787234049</v>
      </c>
    </row>
    <row r="231" spans="2:14" ht="15.75" customHeight="1" x14ac:dyDescent="0.3">
      <c r="B231" s="39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1"/>
    </row>
    <row r="232" spans="2:14" ht="43.2" x14ac:dyDescent="0.3">
      <c r="B232" s="33" t="s">
        <v>10</v>
      </c>
      <c r="C232" s="34" t="s">
        <v>11</v>
      </c>
      <c r="D232" s="34" t="s">
        <v>12</v>
      </c>
      <c r="E232" s="34" t="s">
        <v>13</v>
      </c>
      <c r="F232" s="34" t="s">
        <v>14</v>
      </c>
      <c r="G232" s="34" t="s">
        <v>15</v>
      </c>
      <c r="H232" s="34"/>
      <c r="I232" s="34" t="s">
        <v>26</v>
      </c>
      <c r="J232" s="34" t="s">
        <v>27</v>
      </c>
      <c r="K232" s="34" t="s">
        <v>28</v>
      </c>
      <c r="L232" s="30" t="s">
        <v>29</v>
      </c>
      <c r="M232" s="34" t="s">
        <v>30</v>
      </c>
      <c r="N232" s="36" t="s">
        <v>31</v>
      </c>
    </row>
    <row r="233" spans="2:14" ht="15.75" customHeight="1" x14ac:dyDescent="0.3">
      <c r="B233" s="52">
        <v>155000</v>
      </c>
      <c r="C233" s="42">
        <f>B233 / $G230</f>
        <v>82.446808510638292</v>
      </c>
      <c r="D233" s="43">
        <f>SUM($B230,$C230,$D230,$E230)</f>
        <v>0.35</v>
      </c>
      <c r="E233" s="42">
        <f>(B233 * D233) / $G230</f>
        <v>28.856382978723403</v>
      </c>
      <c r="F233" s="42">
        <f>C233 + E233</f>
        <v>111.30319148936169</v>
      </c>
      <c r="G233" s="42">
        <f>F233 * (1+$F230)</f>
        <v>139.12898936170211</v>
      </c>
      <c r="H233" s="44"/>
      <c r="I233" s="45">
        <f>G230 * I230</f>
        <v>282000</v>
      </c>
      <c r="J233" s="45">
        <f>_xlfn.IFS(M230 = "Yes",G230 * (J230 + L230),M230 &lt;&gt; "Yes",G230 * (J230))</f>
        <v>221249.99999999997</v>
      </c>
      <c r="K233" s="45">
        <f>I233 - J233</f>
        <v>60750.000000000029</v>
      </c>
      <c r="L233" s="46">
        <f>K233 / I233</f>
        <v>0.21542553191489372</v>
      </c>
      <c r="M233" s="45">
        <f>I233 / 12</f>
        <v>23500</v>
      </c>
      <c r="N233" s="47">
        <f>K233 / 12</f>
        <v>5062.5000000000027</v>
      </c>
    </row>
    <row r="234" spans="2:14" ht="15.75" customHeight="1" x14ac:dyDescent="0.3"/>
    <row r="235" spans="2:14" ht="15.75" customHeight="1" x14ac:dyDescent="0.3"/>
    <row r="236" spans="2:14" ht="15.75" customHeight="1" x14ac:dyDescent="0.4">
      <c r="B236" s="275" t="s">
        <v>115</v>
      </c>
      <c r="C236" s="276"/>
      <c r="D236" s="276"/>
      <c r="E236" s="276"/>
      <c r="F236" s="276"/>
      <c r="G236" s="276"/>
      <c r="H236" s="50" t="s">
        <v>53</v>
      </c>
      <c r="I236" s="50" t="s">
        <v>53</v>
      </c>
      <c r="J236" s="50" t="s">
        <v>53</v>
      </c>
      <c r="K236" s="50" t="s">
        <v>53</v>
      </c>
      <c r="L236" s="50" t="s">
        <v>53</v>
      </c>
      <c r="M236" s="50" t="s">
        <v>53</v>
      </c>
      <c r="N236" s="51" t="s">
        <v>53</v>
      </c>
    </row>
    <row r="237" spans="2:14" ht="15.75" customHeight="1" x14ac:dyDescent="0.3">
      <c r="B237" s="33" t="s">
        <v>1</v>
      </c>
      <c r="C237" s="34" t="s">
        <v>3</v>
      </c>
      <c r="D237" s="34" t="s">
        <v>2</v>
      </c>
      <c r="E237" s="34" t="s">
        <v>4</v>
      </c>
      <c r="F237" s="34" t="s">
        <v>6</v>
      </c>
      <c r="G237" s="34" t="s">
        <v>5</v>
      </c>
      <c r="H237" s="34"/>
      <c r="I237" s="34" t="s">
        <v>19</v>
      </c>
      <c r="J237" s="34" t="s">
        <v>20</v>
      </c>
      <c r="K237" s="34" t="s">
        <v>21</v>
      </c>
      <c r="L237" s="35" t="s">
        <v>22</v>
      </c>
      <c r="M237" s="34" t="s">
        <v>23</v>
      </c>
      <c r="N237" s="36" t="s">
        <v>24</v>
      </c>
    </row>
    <row r="238" spans="2:14" ht="15.75" customHeight="1" x14ac:dyDescent="0.3">
      <c r="B238" s="55">
        <v>0.13</v>
      </c>
      <c r="C238" s="59">
        <v>0.05</v>
      </c>
      <c r="D238" s="53">
        <v>0.12</v>
      </c>
      <c r="E238" s="53">
        <v>0.1</v>
      </c>
      <c r="F238" s="53">
        <v>0.25</v>
      </c>
      <c r="G238" s="54">
        <v>1880</v>
      </c>
      <c r="H238" s="37"/>
      <c r="I238" s="56">
        <v>118</v>
      </c>
      <c r="J238" s="29">
        <f>F241</f>
        <v>78.936170212765958</v>
      </c>
      <c r="K238" s="29">
        <f>I238 - J238</f>
        <v>39.063829787234042</v>
      </c>
      <c r="L238" s="29">
        <f>1000 / (G238 / 12)</f>
        <v>6.3829787234042561</v>
      </c>
      <c r="M238" s="54" t="s">
        <v>87</v>
      </c>
      <c r="N238" s="38">
        <f>_xlfn.IFS(M238 = "Yes",K238 - L238,M238 = "No",K238)</f>
        <v>32.680851063829785</v>
      </c>
    </row>
    <row r="239" spans="2:14" ht="15.75" customHeight="1" x14ac:dyDescent="0.3">
      <c r="B239" s="39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1"/>
    </row>
    <row r="240" spans="2:14" ht="15.75" customHeight="1" x14ac:dyDescent="0.3">
      <c r="B240" s="33" t="s">
        <v>10</v>
      </c>
      <c r="C240" s="34" t="s">
        <v>11</v>
      </c>
      <c r="D240" s="34" t="s">
        <v>12</v>
      </c>
      <c r="E240" s="34" t="s">
        <v>13</v>
      </c>
      <c r="F240" s="34" t="s">
        <v>14</v>
      </c>
      <c r="G240" s="34" t="s">
        <v>15</v>
      </c>
      <c r="H240" s="34"/>
      <c r="I240" s="34" t="s">
        <v>26</v>
      </c>
      <c r="J240" s="34" t="s">
        <v>27</v>
      </c>
      <c r="K240" s="34" t="s">
        <v>28</v>
      </c>
      <c r="L240" s="30" t="s">
        <v>29</v>
      </c>
      <c r="M240" s="34" t="s">
        <v>30</v>
      </c>
      <c r="N240" s="36" t="s">
        <v>31</v>
      </c>
    </row>
    <row r="241" spans="2:14" ht="15.75" customHeight="1" x14ac:dyDescent="0.3">
      <c r="B241" s="52">
        <v>106000</v>
      </c>
      <c r="C241" s="42">
        <f>B241 / $G238</f>
        <v>56.382978723404257</v>
      </c>
      <c r="D241" s="43">
        <f>SUM($B238,$C238,$D238,$E238)</f>
        <v>0.4</v>
      </c>
      <c r="E241" s="42">
        <f>(B241 * D241) / $G238</f>
        <v>22.553191489361701</v>
      </c>
      <c r="F241" s="42">
        <f>C241 + E241</f>
        <v>78.936170212765958</v>
      </c>
      <c r="G241" s="42">
        <f>F241 * (1+$F238)</f>
        <v>98.670212765957444</v>
      </c>
      <c r="H241" s="44"/>
      <c r="I241" s="45">
        <f>G238 * I238</f>
        <v>221840</v>
      </c>
      <c r="J241" s="45">
        <f>_xlfn.IFS(M238 = "Yes",G238 * (J238 + L238),M238 &lt;&gt; "Yes",G238 * (J238))</f>
        <v>160400</v>
      </c>
      <c r="K241" s="45">
        <f>I241 - J241</f>
        <v>61440</v>
      </c>
      <c r="L241" s="46">
        <f>K241 / I241</f>
        <v>0.27695636494771009</v>
      </c>
      <c r="M241" s="45">
        <f>I241 / 12</f>
        <v>18486.666666666668</v>
      </c>
      <c r="N241" s="47">
        <f>K241 / 12</f>
        <v>5120</v>
      </c>
    </row>
    <row r="242" spans="2:14" ht="15.75" customHeight="1" x14ac:dyDescent="0.3"/>
    <row r="243" spans="2:14" ht="15.75" customHeight="1" x14ac:dyDescent="0.3"/>
    <row r="244" spans="2:14" ht="15.75" customHeight="1" x14ac:dyDescent="0.4">
      <c r="B244" s="275" t="s">
        <v>115</v>
      </c>
      <c r="C244" s="276"/>
      <c r="D244" s="276"/>
      <c r="E244" s="276"/>
      <c r="F244" s="276"/>
      <c r="G244" s="276"/>
      <c r="H244" s="50" t="s">
        <v>53</v>
      </c>
      <c r="I244" s="50" t="s">
        <v>53</v>
      </c>
      <c r="J244" s="50" t="s">
        <v>53</v>
      </c>
      <c r="K244" s="50" t="s">
        <v>53</v>
      </c>
      <c r="L244" s="50" t="s">
        <v>53</v>
      </c>
      <c r="M244" s="50" t="s">
        <v>53</v>
      </c>
      <c r="N244" s="51" t="s">
        <v>53</v>
      </c>
    </row>
    <row r="245" spans="2:14" ht="15.75" customHeight="1" x14ac:dyDescent="0.3">
      <c r="B245" s="33" t="s">
        <v>1</v>
      </c>
      <c r="C245" s="34" t="s">
        <v>3</v>
      </c>
      <c r="D245" s="34" t="s">
        <v>2</v>
      </c>
      <c r="E245" s="34" t="s">
        <v>4</v>
      </c>
      <c r="F245" s="34" t="s">
        <v>6</v>
      </c>
      <c r="G245" s="34" t="s">
        <v>5</v>
      </c>
      <c r="H245" s="34"/>
      <c r="I245" s="34" t="s">
        <v>19</v>
      </c>
      <c r="J245" s="34" t="s">
        <v>20</v>
      </c>
      <c r="K245" s="34" t="s">
        <v>21</v>
      </c>
      <c r="L245" s="35" t="s">
        <v>22</v>
      </c>
      <c r="M245" s="34" t="s">
        <v>23</v>
      </c>
      <c r="N245" s="36" t="s">
        <v>24</v>
      </c>
    </row>
    <row r="246" spans="2:14" ht="15.75" customHeight="1" x14ac:dyDescent="0.3">
      <c r="B246" s="55">
        <v>0.13</v>
      </c>
      <c r="C246" s="59">
        <v>0.1</v>
      </c>
      <c r="D246" s="53">
        <v>0.12</v>
      </c>
      <c r="E246" s="53">
        <v>0.1</v>
      </c>
      <c r="F246" s="53">
        <v>0.25</v>
      </c>
      <c r="G246" s="54">
        <v>1880</v>
      </c>
      <c r="H246" s="37"/>
      <c r="I246" s="56">
        <v>104.64</v>
      </c>
      <c r="J246" s="29">
        <f>F249</f>
        <v>72.114361702127653</v>
      </c>
      <c r="K246" s="29">
        <f>I246 - J246</f>
        <v>32.525638297872348</v>
      </c>
      <c r="L246" s="29">
        <f>1000 / (G246 / 12)</f>
        <v>6.3829787234042561</v>
      </c>
      <c r="M246" s="54" t="s">
        <v>87</v>
      </c>
      <c r="N246" s="38">
        <f>_xlfn.IFS(M246 = "Yes",K246 - L246,M246 = "No",K246)</f>
        <v>26.142659574468091</v>
      </c>
    </row>
    <row r="247" spans="2:14" ht="15.75" customHeight="1" x14ac:dyDescent="0.3">
      <c r="B247" s="39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1"/>
    </row>
    <row r="248" spans="2:14" ht="15.75" customHeight="1" x14ac:dyDescent="0.3">
      <c r="B248" s="33" t="s">
        <v>10</v>
      </c>
      <c r="C248" s="34" t="s">
        <v>11</v>
      </c>
      <c r="D248" s="34" t="s">
        <v>12</v>
      </c>
      <c r="E248" s="34" t="s">
        <v>13</v>
      </c>
      <c r="F248" s="34" t="s">
        <v>14</v>
      </c>
      <c r="G248" s="34" t="s">
        <v>15</v>
      </c>
      <c r="H248" s="34"/>
      <c r="I248" s="34" t="s">
        <v>26</v>
      </c>
      <c r="J248" s="34" t="s">
        <v>27</v>
      </c>
      <c r="K248" s="34" t="s">
        <v>28</v>
      </c>
      <c r="L248" s="30" t="s">
        <v>29</v>
      </c>
      <c r="M248" s="34" t="s">
        <v>30</v>
      </c>
      <c r="N248" s="36" t="s">
        <v>31</v>
      </c>
    </row>
    <row r="249" spans="2:14" ht="15.75" customHeight="1" x14ac:dyDescent="0.3">
      <c r="B249" s="52">
        <v>93500</v>
      </c>
      <c r="C249" s="42">
        <f>B249 / $G246</f>
        <v>49.734042553191486</v>
      </c>
      <c r="D249" s="43">
        <f>SUM($B246,$C246,$D246,$E246)</f>
        <v>0.44999999999999996</v>
      </c>
      <c r="E249" s="42">
        <f>(B249 * D249) / $G246</f>
        <v>22.380319148936167</v>
      </c>
      <c r="F249" s="42">
        <f>C249 + E249</f>
        <v>72.114361702127653</v>
      </c>
      <c r="G249" s="42">
        <f>F249 * (1+$F246)</f>
        <v>90.142952127659569</v>
      </c>
      <c r="H249" s="44"/>
      <c r="I249" s="45">
        <f>G246 * I246</f>
        <v>196723.20000000001</v>
      </c>
      <c r="J249" s="45">
        <f>_xlfn.IFS(M246 = "Yes",G246 * (J246 + L246),M246 &lt;&gt; "Yes",G246 * (J246))</f>
        <v>147574.99999999997</v>
      </c>
      <c r="K249" s="45">
        <f>I249 - J249</f>
        <v>49148.200000000041</v>
      </c>
      <c r="L249" s="46">
        <f>K249 / I249</f>
        <v>0.24983428492419826</v>
      </c>
      <c r="M249" s="45">
        <f>I249 / 12</f>
        <v>16393.600000000002</v>
      </c>
      <c r="N249" s="47">
        <f>K249 / 12</f>
        <v>4095.6833333333366</v>
      </c>
    </row>
    <row r="250" spans="2:14" ht="15.75" customHeight="1" x14ac:dyDescent="0.3"/>
    <row r="251" spans="2:14" ht="15.75" customHeight="1" x14ac:dyDescent="0.3"/>
    <row r="252" spans="2:14" ht="15.75" customHeight="1" x14ac:dyDescent="0.3"/>
    <row r="253" spans="2:14" ht="15.75" customHeight="1" x14ac:dyDescent="0.4">
      <c r="B253" s="49" t="s">
        <v>116</v>
      </c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1"/>
    </row>
    <row r="254" spans="2:14" ht="43.2" x14ac:dyDescent="0.3">
      <c r="B254" s="33" t="s">
        <v>1</v>
      </c>
      <c r="C254" s="34" t="s">
        <v>3</v>
      </c>
      <c r="D254" s="34" t="s">
        <v>2</v>
      </c>
      <c r="E254" s="34" t="s">
        <v>4</v>
      </c>
      <c r="F254" s="34" t="s">
        <v>6</v>
      </c>
      <c r="G254" s="34" t="s">
        <v>5</v>
      </c>
      <c r="H254" s="34"/>
      <c r="I254" s="34" t="s">
        <v>19</v>
      </c>
      <c r="J254" s="34" t="s">
        <v>20</v>
      </c>
      <c r="K254" s="34" t="s">
        <v>21</v>
      </c>
      <c r="L254" s="35" t="s">
        <v>22</v>
      </c>
      <c r="M254" s="34" t="s">
        <v>23</v>
      </c>
      <c r="N254" s="36" t="s">
        <v>24</v>
      </c>
    </row>
    <row r="255" spans="2:14" ht="15.75" customHeight="1" x14ac:dyDescent="0.3">
      <c r="B255" s="55">
        <v>0.13</v>
      </c>
      <c r="C255" s="53">
        <v>0.1</v>
      </c>
      <c r="D255" s="53">
        <v>0.12</v>
      </c>
      <c r="E255" s="53">
        <v>0.115</v>
      </c>
      <c r="F255" s="53">
        <v>0.25</v>
      </c>
      <c r="G255" s="54">
        <v>1880</v>
      </c>
      <c r="H255" s="37"/>
      <c r="I255" s="56">
        <v>140</v>
      </c>
      <c r="J255" s="29">
        <f>F258</f>
        <v>105.19946808510639</v>
      </c>
      <c r="K255" s="29">
        <f>I255 - J255</f>
        <v>34.800531914893611</v>
      </c>
      <c r="L255" s="29">
        <f>1000 / (G255 / 12)</f>
        <v>6.3829787234042561</v>
      </c>
      <c r="M255" s="54" t="s">
        <v>87</v>
      </c>
      <c r="N255" s="38">
        <f>_xlfn.IFS(M255 = "Yes",K255 - L255,M255 = "No",K255)</f>
        <v>28.417553191489354</v>
      </c>
    </row>
    <row r="256" spans="2:14" ht="15.75" customHeight="1" x14ac:dyDescent="0.3">
      <c r="B256" s="39"/>
      <c r="C256" s="40"/>
      <c r="D256" s="40"/>
      <c r="E256" s="40"/>
      <c r="F256" s="40"/>
      <c r="G256" s="40"/>
      <c r="H256" s="40"/>
      <c r="I256" s="65"/>
      <c r="J256" s="40"/>
      <c r="K256" s="40"/>
      <c r="L256" s="40"/>
      <c r="M256" s="40"/>
      <c r="N256" s="41"/>
    </row>
    <row r="257" spans="2:14" ht="43.2" x14ac:dyDescent="0.3">
      <c r="B257" s="33" t="s">
        <v>84</v>
      </c>
      <c r="C257" s="34" t="s">
        <v>11</v>
      </c>
      <c r="D257" s="34" t="s">
        <v>12</v>
      </c>
      <c r="E257" s="34" t="s">
        <v>13</v>
      </c>
      <c r="F257" s="34" t="s">
        <v>14</v>
      </c>
      <c r="G257" s="34" t="s">
        <v>15</v>
      </c>
      <c r="H257" s="34"/>
      <c r="I257" s="34" t="s">
        <v>26</v>
      </c>
      <c r="J257" s="34" t="s">
        <v>27</v>
      </c>
      <c r="K257" s="34" t="s">
        <v>28</v>
      </c>
      <c r="L257" s="30" t="s">
        <v>29</v>
      </c>
      <c r="M257" s="34" t="s">
        <v>30</v>
      </c>
      <c r="N257" s="36" t="s">
        <v>31</v>
      </c>
    </row>
    <row r="258" spans="2:14" ht="15.75" customHeight="1" x14ac:dyDescent="0.3">
      <c r="B258" s="52">
        <v>135000</v>
      </c>
      <c r="C258" s="42">
        <f>B258 / $G255</f>
        <v>71.808510638297875</v>
      </c>
      <c r="D258" s="43">
        <f>SUM($B255,$C255,$D255,$E255)</f>
        <v>0.46499999999999997</v>
      </c>
      <c r="E258" s="42">
        <f>(B258 * D258) / $G255</f>
        <v>33.390957446808507</v>
      </c>
      <c r="F258" s="42">
        <f>C258 + E258</f>
        <v>105.19946808510639</v>
      </c>
      <c r="G258" s="42">
        <f>F258 * (1+$F255)</f>
        <v>131.499335106383</v>
      </c>
      <c r="H258" s="44"/>
      <c r="I258" s="45">
        <f>G255 * I255</f>
        <v>263200</v>
      </c>
      <c r="J258" s="45">
        <f>_xlfn.IFS(M255 = "Yes",G255 * (J255 + L255),M255 &lt;&gt; "Yes",G255 * (J255))</f>
        <v>209775</v>
      </c>
      <c r="K258" s="45">
        <f>I258 - J258</f>
        <v>53425</v>
      </c>
      <c r="L258" s="46">
        <f>K258 / I258</f>
        <v>0.20298252279635259</v>
      </c>
      <c r="M258" s="45">
        <f>I258 / 12</f>
        <v>21933.333333333332</v>
      </c>
      <c r="N258" s="47">
        <f>K258 / 12</f>
        <v>4452.083333333333</v>
      </c>
    </row>
    <row r="259" spans="2:14" ht="15.75" customHeight="1" x14ac:dyDescent="0.3"/>
    <row r="260" spans="2:14" ht="21" x14ac:dyDescent="0.4">
      <c r="B260" s="49" t="s">
        <v>117</v>
      </c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1"/>
    </row>
    <row r="261" spans="2:14" ht="15.75" customHeight="1" x14ac:dyDescent="0.3">
      <c r="B261" s="33" t="s">
        <v>1</v>
      </c>
      <c r="C261" s="34" t="s">
        <v>3</v>
      </c>
      <c r="D261" s="34" t="s">
        <v>2</v>
      </c>
      <c r="E261" s="34" t="s">
        <v>4</v>
      </c>
      <c r="F261" s="34" t="s">
        <v>6</v>
      </c>
      <c r="G261" s="34" t="s">
        <v>5</v>
      </c>
      <c r="H261" s="34"/>
      <c r="I261" s="34" t="s">
        <v>19</v>
      </c>
      <c r="J261" s="34" t="s">
        <v>20</v>
      </c>
      <c r="K261" s="34" t="s">
        <v>21</v>
      </c>
      <c r="L261" s="35" t="s">
        <v>22</v>
      </c>
      <c r="M261" s="34" t="s">
        <v>23</v>
      </c>
      <c r="N261" s="36" t="s">
        <v>24</v>
      </c>
    </row>
    <row r="262" spans="2:14" ht="15.75" customHeight="1" x14ac:dyDescent="0.3">
      <c r="B262" s="55">
        <v>0.05</v>
      </c>
      <c r="C262" s="53">
        <v>0.1</v>
      </c>
      <c r="D262" s="53">
        <v>0.12</v>
      </c>
      <c r="E262" s="53">
        <v>0.1</v>
      </c>
      <c r="F262" s="53">
        <v>0.25</v>
      </c>
      <c r="G262" s="54">
        <v>1880</v>
      </c>
      <c r="H262" s="37"/>
      <c r="I262" s="56">
        <v>104.64</v>
      </c>
      <c r="J262" s="29">
        <f>F265</f>
        <v>72.872340425531917</v>
      </c>
      <c r="K262" s="29">
        <f>I262 - J262</f>
        <v>31.767659574468084</v>
      </c>
      <c r="L262" s="29">
        <f>1000 / (G262 / 12)</f>
        <v>6.3829787234042561</v>
      </c>
      <c r="M262" s="54" t="s">
        <v>32</v>
      </c>
      <c r="N262" s="38">
        <f>_xlfn.IFS(M262 = "Yes",K262 - L262,M262 = "No",K262)</f>
        <v>31.767659574468084</v>
      </c>
    </row>
    <row r="263" spans="2:14" ht="15.75" customHeight="1" x14ac:dyDescent="0.3">
      <c r="B263" s="39"/>
      <c r="C263" s="40"/>
      <c r="D263" s="40"/>
      <c r="E263" s="40"/>
      <c r="F263" s="40"/>
      <c r="G263" s="40"/>
      <c r="H263" s="40"/>
      <c r="I263" s="65"/>
      <c r="J263" s="40"/>
      <c r="K263" s="40"/>
      <c r="L263" s="40"/>
      <c r="M263" s="40"/>
      <c r="N263" s="41"/>
    </row>
    <row r="264" spans="2:14" ht="15.75" customHeight="1" x14ac:dyDescent="0.3">
      <c r="B264" s="33" t="s">
        <v>84</v>
      </c>
      <c r="C264" s="34" t="s">
        <v>11</v>
      </c>
      <c r="D264" s="34" t="s">
        <v>12</v>
      </c>
      <c r="E264" s="34" t="s">
        <v>13</v>
      </c>
      <c r="F264" s="34" t="s">
        <v>14</v>
      </c>
      <c r="G264" s="34" t="s">
        <v>15</v>
      </c>
      <c r="H264" s="34"/>
      <c r="I264" s="34" t="s">
        <v>26</v>
      </c>
      <c r="J264" s="34" t="s">
        <v>27</v>
      </c>
      <c r="K264" s="34" t="s">
        <v>28</v>
      </c>
      <c r="L264" s="30" t="s">
        <v>29</v>
      </c>
      <c r="M264" s="34" t="s">
        <v>30</v>
      </c>
      <c r="N264" s="36" t="s">
        <v>31</v>
      </c>
    </row>
    <row r="265" spans="2:14" ht="15.75" customHeight="1" x14ac:dyDescent="0.3">
      <c r="B265" s="52">
        <v>100000</v>
      </c>
      <c r="C265" s="42">
        <f>B265 / $G262</f>
        <v>53.191489361702125</v>
      </c>
      <c r="D265" s="43">
        <f>SUM($B262,$C262,$D262,$E262)</f>
        <v>0.37</v>
      </c>
      <c r="E265" s="42">
        <f>(B265 * D265) / $G262</f>
        <v>19.680851063829788</v>
      </c>
      <c r="F265" s="42">
        <f>C265 + E265</f>
        <v>72.872340425531917</v>
      </c>
      <c r="G265" s="42">
        <f>F265 * (1+$F262)</f>
        <v>91.090425531914889</v>
      </c>
      <c r="H265" s="44"/>
      <c r="I265" s="45">
        <f>G262 * I262</f>
        <v>196723.20000000001</v>
      </c>
      <c r="J265" s="45">
        <f>_xlfn.IFS(M262 = "Yes",G262 * (J262 + L262),M262 &lt;&gt; "Yes",G262 * (J262))</f>
        <v>137000</v>
      </c>
      <c r="K265" s="45">
        <f>I265 - J265</f>
        <v>59723.200000000012</v>
      </c>
      <c r="L265" s="46">
        <f>K265 / I265</f>
        <v>0.30359001886915221</v>
      </c>
      <c r="M265" s="45">
        <f>I265 / 12</f>
        <v>16393.600000000002</v>
      </c>
      <c r="N265" s="47">
        <f>K265 / 12</f>
        <v>4976.9333333333343</v>
      </c>
    </row>
    <row r="266" spans="2:14" ht="15.75" customHeight="1" x14ac:dyDescent="0.3"/>
    <row r="267" spans="2:14" ht="46.5" customHeight="1" x14ac:dyDescent="0.4">
      <c r="B267" s="242" t="s">
        <v>118</v>
      </c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1"/>
    </row>
    <row r="268" spans="2:14" ht="50.25" customHeight="1" x14ac:dyDescent="0.3">
      <c r="B268" s="33" t="s">
        <v>1</v>
      </c>
      <c r="C268" s="34" t="s">
        <v>3</v>
      </c>
      <c r="D268" s="34" t="s">
        <v>2</v>
      </c>
      <c r="E268" s="34" t="s">
        <v>4</v>
      </c>
      <c r="F268" s="34" t="s">
        <v>6</v>
      </c>
      <c r="G268" s="34" t="s">
        <v>5</v>
      </c>
      <c r="H268" s="34"/>
      <c r="I268" s="34" t="s">
        <v>19</v>
      </c>
      <c r="J268" s="34" t="s">
        <v>20</v>
      </c>
      <c r="K268" s="34" t="s">
        <v>21</v>
      </c>
      <c r="L268" s="35" t="s">
        <v>22</v>
      </c>
      <c r="M268" s="34" t="s">
        <v>23</v>
      </c>
      <c r="N268" s="36" t="s">
        <v>24</v>
      </c>
    </row>
    <row r="269" spans="2:14" ht="15.75" customHeight="1" x14ac:dyDescent="0.3">
      <c r="B269" s="55">
        <v>0.13</v>
      </c>
      <c r="C269" s="53">
        <v>0.1</v>
      </c>
      <c r="D269" s="53">
        <v>0.12</v>
      </c>
      <c r="E269" s="53">
        <v>0.1</v>
      </c>
      <c r="F269" s="53">
        <v>0.25</v>
      </c>
      <c r="G269" s="54">
        <v>1880</v>
      </c>
      <c r="H269" s="37"/>
      <c r="I269" s="56">
        <v>166.14</v>
      </c>
      <c r="J269" s="29">
        <f>F272</f>
        <v>100.2659574468085</v>
      </c>
      <c r="K269" s="29">
        <f>I269 - J269</f>
        <v>65.874042553191487</v>
      </c>
      <c r="L269" s="29">
        <f>1000 / (G269 / 12)</f>
        <v>6.3829787234042561</v>
      </c>
      <c r="M269" s="54" t="s">
        <v>32</v>
      </c>
      <c r="N269" s="38">
        <f>_xlfn.IFS(M269 = "Yes",K269 - L269,M269 = "No",K269)</f>
        <v>65.874042553191487</v>
      </c>
    </row>
    <row r="270" spans="2:14" ht="15.75" customHeight="1" x14ac:dyDescent="0.3">
      <c r="B270" s="39"/>
      <c r="C270" s="40"/>
      <c r="D270" s="40"/>
      <c r="E270" s="40"/>
      <c r="F270" s="40"/>
      <c r="G270" s="40"/>
      <c r="H270" s="40"/>
      <c r="I270" s="65"/>
      <c r="J270" s="40"/>
      <c r="K270" s="40"/>
      <c r="L270" s="40"/>
      <c r="M270" s="40"/>
      <c r="N270" s="41"/>
    </row>
    <row r="271" spans="2:14" ht="15.75" customHeight="1" x14ac:dyDescent="0.3">
      <c r="B271" s="33" t="s">
        <v>84</v>
      </c>
      <c r="C271" s="34" t="s">
        <v>11</v>
      </c>
      <c r="D271" s="34" t="s">
        <v>12</v>
      </c>
      <c r="E271" s="34" t="s">
        <v>13</v>
      </c>
      <c r="F271" s="34" t="s">
        <v>14</v>
      </c>
      <c r="G271" s="34" t="s">
        <v>15</v>
      </c>
      <c r="H271" s="34"/>
      <c r="I271" s="34" t="s">
        <v>26</v>
      </c>
      <c r="J271" s="34" t="s">
        <v>27</v>
      </c>
      <c r="K271" s="34" t="s">
        <v>28</v>
      </c>
      <c r="L271" s="30" t="s">
        <v>29</v>
      </c>
      <c r="M271" s="34" t="s">
        <v>30</v>
      </c>
      <c r="N271" s="36" t="s">
        <v>31</v>
      </c>
    </row>
    <row r="272" spans="2:14" ht="15.75" customHeight="1" x14ac:dyDescent="0.3">
      <c r="B272" s="52">
        <v>130000</v>
      </c>
      <c r="C272" s="42">
        <f>B272 / $G269</f>
        <v>69.148936170212764</v>
      </c>
      <c r="D272" s="43">
        <f>SUM($B269,$C269,$D269,$E269)</f>
        <v>0.44999999999999996</v>
      </c>
      <c r="E272" s="42">
        <f>(B272 * D272) / $G269</f>
        <v>31.117021276595739</v>
      </c>
      <c r="F272" s="42">
        <f>C272 + E272</f>
        <v>100.2659574468085</v>
      </c>
      <c r="G272" s="42">
        <f>F272 * (1+$F269)</f>
        <v>125.33244680851062</v>
      </c>
      <c r="H272" s="44"/>
      <c r="I272" s="45">
        <f>G269 * I269</f>
        <v>312343.19999999995</v>
      </c>
      <c r="J272" s="45">
        <f>_xlfn.IFS(M269 = "Yes",G269 * (J269 + L269),M269 &lt;&gt; "Yes",G269 * (J269))</f>
        <v>188499.99999999997</v>
      </c>
      <c r="K272" s="45">
        <f>I272 - J272</f>
        <v>123843.19999999998</v>
      </c>
      <c r="L272" s="46">
        <f>K272 / I272</f>
        <v>0.39649718642826226</v>
      </c>
      <c r="M272" s="45">
        <f>I272 / 12</f>
        <v>26028.599999999995</v>
      </c>
      <c r="N272" s="47">
        <f>K272 / 12</f>
        <v>10320.266666666665</v>
      </c>
    </row>
    <row r="273" spans="2:14" ht="15.75" customHeight="1" x14ac:dyDescent="0.3">
      <c r="B273" s="64"/>
    </row>
    <row r="274" spans="2:14" ht="15.75" customHeight="1" x14ac:dyDescent="0.4">
      <c r="B274" s="49" t="s">
        <v>119</v>
      </c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1"/>
    </row>
    <row r="275" spans="2:14" ht="53.25" customHeight="1" x14ac:dyDescent="0.3">
      <c r="B275" s="33" t="s">
        <v>1</v>
      </c>
      <c r="C275" s="34" t="s">
        <v>3</v>
      </c>
      <c r="D275" s="34" t="s">
        <v>2</v>
      </c>
      <c r="E275" s="34" t="s">
        <v>4</v>
      </c>
      <c r="F275" s="34" t="s">
        <v>6</v>
      </c>
      <c r="G275" s="34" t="s">
        <v>5</v>
      </c>
      <c r="H275" s="34"/>
      <c r="I275" s="34" t="s">
        <v>19</v>
      </c>
      <c r="J275" s="34" t="s">
        <v>20</v>
      </c>
      <c r="K275" s="34" t="s">
        <v>21</v>
      </c>
      <c r="L275" s="35" t="s">
        <v>22</v>
      </c>
      <c r="M275" s="34" t="s">
        <v>23</v>
      </c>
      <c r="N275" s="36" t="s">
        <v>24</v>
      </c>
    </row>
    <row r="276" spans="2:14" ht="15.75" customHeight="1" x14ac:dyDescent="0.3">
      <c r="B276" s="55">
        <v>0.05</v>
      </c>
      <c r="C276" s="53"/>
      <c r="D276" s="53">
        <v>0.12</v>
      </c>
      <c r="E276" s="53">
        <v>0.1</v>
      </c>
      <c r="F276" s="53">
        <v>0.25</v>
      </c>
      <c r="G276" s="54">
        <v>1880</v>
      </c>
      <c r="H276" s="37"/>
      <c r="I276" s="56">
        <v>157</v>
      </c>
      <c r="J276" s="29">
        <f>F279</f>
        <v>84.441489361702125</v>
      </c>
      <c r="K276" s="29">
        <f>I276 - J276</f>
        <v>72.558510638297875</v>
      </c>
      <c r="L276" s="29">
        <f>1000 / (G276 / 12)</f>
        <v>6.3829787234042561</v>
      </c>
      <c r="M276" s="54" t="s">
        <v>32</v>
      </c>
      <c r="N276" s="38">
        <f>_xlfn.IFS(M276 = "Yes",K276 - L276,M276 = "No",K276)</f>
        <v>72.558510638297875</v>
      </c>
    </row>
    <row r="277" spans="2:14" ht="15.75" customHeight="1" x14ac:dyDescent="0.3">
      <c r="B277" s="39"/>
      <c r="C277" s="40"/>
      <c r="D277" s="40"/>
      <c r="E277" s="40"/>
      <c r="F277" s="40"/>
      <c r="G277" s="40"/>
      <c r="H277" s="40"/>
      <c r="I277" s="65"/>
      <c r="J277" s="40"/>
      <c r="K277" s="40"/>
      <c r="L277" s="40"/>
      <c r="M277" s="40"/>
      <c r="N277" s="41"/>
    </row>
    <row r="278" spans="2:14" ht="49.5" customHeight="1" x14ac:dyDescent="0.3">
      <c r="B278" s="33" t="s">
        <v>84</v>
      </c>
      <c r="C278" s="34" t="s">
        <v>11</v>
      </c>
      <c r="D278" s="34" t="s">
        <v>12</v>
      </c>
      <c r="E278" s="34" t="s">
        <v>13</v>
      </c>
      <c r="F278" s="34" t="s">
        <v>14</v>
      </c>
      <c r="G278" s="34" t="s">
        <v>15</v>
      </c>
      <c r="H278" s="34"/>
      <c r="I278" s="34" t="s">
        <v>26</v>
      </c>
      <c r="J278" s="34" t="s">
        <v>27</v>
      </c>
      <c r="K278" s="34" t="s">
        <v>28</v>
      </c>
      <c r="L278" s="30" t="s">
        <v>29</v>
      </c>
      <c r="M278" s="34" t="s">
        <v>30</v>
      </c>
      <c r="N278" s="36" t="s">
        <v>31</v>
      </c>
    </row>
    <row r="279" spans="2:14" ht="15.75" customHeight="1" x14ac:dyDescent="0.3">
      <c r="B279" s="52">
        <v>125000</v>
      </c>
      <c r="C279" s="42">
        <f>B279 / $G276</f>
        <v>66.489361702127653</v>
      </c>
      <c r="D279" s="43">
        <f>SUM($B276,$C276,$D276,$E276)</f>
        <v>0.27</v>
      </c>
      <c r="E279" s="42">
        <f>(B279 * D279) / $G276</f>
        <v>17.952127659574469</v>
      </c>
      <c r="F279" s="42">
        <f>C279 + E279</f>
        <v>84.441489361702125</v>
      </c>
      <c r="G279" s="42">
        <f>F279 * (1+$F276)</f>
        <v>105.55186170212765</v>
      </c>
      <c r="H279" s="44"/>
      <c r="I279" s="45">
        <f>G276 * I276</f>
        <v>295160</v>
      </c>
      <c r="J279" s="45">
        <f>_xlfn.IFS(M276 = "Yes",G276 * (J276 + L276),M276 &lt;&gt; "Yes",G276 * (J276))</f>
        <v>158750</v>
      </c>
      <c r="K279" s="45">
        <f>I279 - J279</f>
        <v>136410</v>
      </c>
      <c r="L279" s="46">
        <f>K279 / I279</f>
        <v>0.46215611871527307</v>
      </c>
      <c r="M279" s="45">
        <f>I279 / 12</f>
        <v>24596.666666666668</v>
      </c>
      <c r="N279" s="47">
        <f>K279 / 12</f>
        <v>11367.5</v>
      </c>
    </row>
    <row r="280" spans="2:14" ht="15.75" customHeight="1" x14ac:dyDescent="0.3"/>
    <row r="281" spans="2:14" ht="15.75" customHeight="1" x14ac:dyDescent="0.4">
      <c r="B281" s="49" t="s">
        <v>120</v>
      </c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1"/>
    </row>
    <row r="282" spans="2:14" ht="15.75" customHeight="1" x14ac:dyDescent="0.3">
      <c r="B282" s="33" t="s">
        <v>1</v>
      </c>
      <c r="C282" s="34" t="s">
        <v>3</v>
      </c>
      <c r="D282" s="34" t="s">
        <v>2</v>
      </c>
      <c r="E282" s="34" t="s">
        <v>4</v>
      </c>
      <c r="F282" s="34" t="s">
        <v>6</v>
      </c>
      <c r="G282" s="34" t="s">
        <v>5</v>
      </c>
      <c r="H282" s="34"/>
      <c r="I282" s="34" t="s">
        <v>19</v>
      </c>
      <c r="J282" s="34" t="s">
        <v>20</v>
      </c>
      <c r="K282" s="34" t="s">
        <v>21</v>
      </c>
      <c r="L282" s="35" t="s">
        <v>22</v>
      </c>
      <c r="M282" s="34" t="s">
        <v>23</v>
      </c>
      <c r="N282" s="36" t="s">
        <v>24</v>
      </c>
    </row>
    <row r="283" spans="2:14" ht="15.75" customHeight="1" x14ac:dyDescent="0.3">
      <c r="B283" s="55">
        <v>0.13</v>
      </c>
      <c r="C283" s="53">
        <v>0.1</v>
      </c>
      <c r="D283" s="53">
        <v>0.12</v>
      </c>
      <c r="E283" s="53">
        <v>0.1</v>
      </c>
      <c r="F283" s="53">
        <v>0.25</v>
      </c>
      <c r="G283" s="54">
        <v>1880</v>
      </c>
      <c r="H283" s="37"/>
      <c r="I283" s="56">
        <v>140</v>
      </c>
      <c r="J283" s="29">
        <f>F286</f>
        <v>104.12234042553192</v>
      </c>
      <c r="K283" s="29">
        <f>I283 - J283</f>
        <v>35.877659574468083</v>
      </c>
      <c r="L283" s="29">
        <f>1000 / (G283 / 12)</f>
        <v>6.3829787234042561</v>
      </c>
      <c r="M283" s="54" t="s">
        <v>25</v>
      </c>
      <c r="N283" s="38">
        <f>_xlfn.IFS(M283 = "Yes",K283 - L283,M283 = "No",K283)</f>
        <v>29.494680851063826</v>
      </c>
    </row>
    <row r="284" spans="2:14" ht="15.75" customHeight="1" x14ac:dyDescent="0.3">
      <c r="B284" s="39"/>
      <c r="C284" s="40"/>
      <c r="D284" s="40"/>
      <c r="E284" s="40"/>
      <c r="F284" s="40"/>
      <c r="G284" s="40"/>
      <c r="H284" s="40"/>
      <c r="I284" s="65"/>
      <c r="J284" s="40"/>
      <c r="K284" s="40"/>
      <c r="L284" s="40"/>
      <c r="M284" s="40"/>
      <c r="N284" s="41"/>
    </row>
    <row r="285" spans="2:14" ht="15.75" customHeight="1" x14ac:dyDescent="0.3">
      <c r="B285" s="33" t="s">
        <v>84</v>
      </c>
      <c r="C285" s="34" t="s">
        <v>11</v>
      </c>
      <c r="D285" s="34" t="s">
        <v>12</v>
      </c>
      <c r="E285" s="34" t="s">
        <v>13</v>
      </c>
      <c r="F285" s="34" t="s">
        <v>14</v>
      </c>
      <c r="G285" s="34" t="s">
        <v>15</v>
      </c>
      <c r="H285" s="34"/>
      <c r="I285" s="34" t="s">
        <v>26</v>
      </c>
      <c r="J285" s="34" t="s">
        <v>27</v>
      </c>
      <c r="K285" s="34" t="s">
        <v>28</v>
      </c>
      <c r="L285" s="30" t="s">
        <v>29</v>
      </c>
      <c r="M285" s="34" t="s">
        <v>30</v>
      </c>
      <c r="N285" s="36" t="s">
        <v>31</v>
      </c>
    </row>
    <row r="286" spans="2:14" ht="15.75" customHeight="1" x14ac:dyDescent="0.3">
      <c r="B286" s="52">
        <v>135000</v>
      </c>
      <c r="C286" s="42">
        <f>B286 / $G283</f>
        <v>71.808510638297875</v>
      </c>
      <c r="D286" s="43">
        <f>SUM($B283,$C283,$D283,$E283)</f>
        <v>0.44999999999999996</v>
      </c>
      <c r="E286" s="42">
        <f>(B286 * D286) / $G283</f>
        <v>32.313829787234042</v>
      </c>
      <c r="F286" s="42">
        <f>C286 + E286</f>
        <v>104.12234042553192</v>
      </c>
      <c r="G286" s="42">
        <f>F286 * (1+$F283)</f>
        <v>130.15292553191489</v>
      </c>
      <c r="H286" s="44"/>
      <c r="I286" s="45">
        <f>G283 * I283</f>
        <v>263200</v>
      </c>
      <c r="J286" s="45">
        <f>_xlfn.IFS(M283 = "Yes",G283 * (J283 + L283),M283 &lt;&gt; "Yes",G283 * (J283))</f>
        <v>207750</v>
      </c>
      <c r="K286" s="45">
        <f>I286 - J286</f>
        <v>55450</v>
      </c>
      <c r="L286" s="46">
        <f>K286 / I286</f>
        <v>0.21067629179331307</v>
      </c>
      <c r="M286" s="45">
        <f>I286 / 12</f>
        <v>21933.333333333332</v>
      </c>
      <c r="N286" s="47">
        <f>K286 / 12</f>
        <v>4620.833333333333</v>
      </c>
    </row>
    <row r="287" spans="2:14" ht="15.75" customHeight="1" x14ac:dyDescent="0.3"/>
    <row r="288" spans="2:14" ht="15.75" customHeight="1" x14ac:dyDescent="0.4">
      <c r="B288" s="49" t="s">
        <v>121</v>
      </c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1"/>
    </row>
    <row r="289" spans="2:14" ht="43.2" x14ac:dyDescent="0.3">
      <c r="B289" s="33" t="s">
        <v>1</v>
      </c>
      <c r="C289" s="34" t="s">
        <v>3</v>
      </c>
      <c r="D289" s="34" t="s">
        <v>2</v>
      </c>
      <c r="E289" s="34" t="s">
        <v>4</v>
      </c>
      <c r="F289" s="34" t="s">
        <v>6</v>
      </c>
      <c r="G289" s="34" t="s">
        <v>5</v>
      </c>
      <c r="H289" s="34"/>
      <c r="I289" s="34" t="s">
        <v>19</v>
      </c>
      <c r="J289" s="34" t="s">
        <v>20</v>
      </c>
      <c r="K289" s="34" t="s">
        <v>21</v>
      </c>
      <c r="L289" s="35" t="s">
        <v>22</v>
      </c>
      <c r="M289" s="34" t="s">
        <v>23</v>
      </c>
      <c r="N289" s="36" t="s">
        <v>24</v>
      </c>
    </row>
    <row r="290" spans="2:14" ht="15.75" customHeight="1" x14ac:dyDescent="0.3">
      <c r="B290" s="55">
        <v>0.03</v>
      </c>
      <c r="C290" s="53">
        <v>0.05</v>
      </c>
      <c r="D290" s="53">
        <v>0.12</v>
      </c>
      <c r="E290" s="53">
        <v>0.1</v>
      </c>
      <c r="F290" s="53">
        <v>0.25</v>
      </c>
      <c r="G290" s="54">
        <v>1880</v>
      </c>
      <c r="H290" s="37"/>
      <c r="I290" s="56">
        <v>142</v>
      </c>
      <c r="J290" s="29">
        <f>F293</f>
        <v>124.46808510638299</v>
      </c>
      <c r="K290" s="29">
        <f>I290 - J290</f>
        <v>17.531914893617014</v>
      </c>
      <c r="L290" s="29">
        <f>1000 / (G290 / 12)</f>
        <v>6.3829787234042561</v>
      </c>
      <c r="M290" s="54" t="s">
        <v>32</v>
      </c>
      <c r="N290" s="38">
        <f>_xlfn.IFS(M290 = "Yes",K290 - L290,M290 = "No",K290)</f>
        <v>17.531914893617014</v>
      </c>
    </row>
    <row r="291" spans="2:14" ht="15.75" customHeight="1" x14ac:dyDescent="0.3">
      <c r="B291" s="39"/>
      <c r="C291" s="40"/>
      <c r="D291" s="40"/>
      <c r="E291" s="40"/>
      <c r="F291" s="40"/>
      <c r="G291" s="40"/>
      <c r="H291" s="40"/>
      <c r="I291" s="65"/>
      <c r="J291" s="40"/>
      <c r="K291" s="40"/>
      <c r="L291" s="40"/>
      <c r="M291" s="40"/>
      <c r="N291" s="41"/>
    </row>
    <row r="292" spans="2:14" ht="43.2" x14ac:dyDescent="0.3">
      <c r="B292" s="33" t="s">
        <v>84</v>
      </c>
      <c r="C292" s="34" t="s">
        <v>11</v>
      </c>
      <c r="D292" s="34" t="s">
        <v>12</v>
      </c>
      <c r="E292" s="34" t="s">
        <v>13</v>
      </c>
      <c r="F292" s="34" t="s">
        <v>14</v>
      </c>
      <c r="G292" s="34" t="s">
        <v>15</v>
      </c>
      <c r="H292" s="34"/>
      <c r="I292" s="34" t="s">
        <v>26</v>
      </c>
      <c r="J292" s="34" t="s">
        <v>27</v>
      </c>
      <c r="K292" s="34" t="s">
        <v>28</v>
      </c>
      <c r="L292" s="30" t="s">
        <v>29</v>
      </c>
      <c r="M292" s="34" t="s">
        <v>30</v>
      </c>
      <c r="N292" s="36" t="s">
        <v>31</v>
      </c>
    </row>
    <row r="293" spans="2:14" ht="15.75" customHeight="1" x14ac:dyDescent="0.3">
      <c r="B293" s="52">
        <v>180000</v>
      </c>
      <c r="C293" s="42">
        <f>B293 / $G290</f>
        <v>95.744680851063833</v>
      </c>
      <c r="D293" s="43">
        <f>SUM($B290,$C290,$D290,$E290)</f>
        <v>0.30000000000000004</v>
      </c>
      <c r="E293" s="42">
        <f>(B293 * D293) / $G290</f>
        <v>28.723404255319153</v>
      </c>
      <c r="F293" s="42">
        <f>C293 + E293</f>
        <v>124.46808510638299</v>
      </c>
      <c r="G293" s="42">
        <f>F293 * (1+$F290)</f>
        <v>155.58510638297872</v>
      </c>
      <c r="H293" s="44"/>
      <c r="I293" s="45">
        <f>G290 * I290</f>
        <v>266960</v>
      </c>
      <c r="J293" s="45">
        <f>_xlfn.IFS(M290 = "Yes",G290 * (J290 + L290),M290 &lt;&gt; "Yes",G290 * (J290))</f>
        <v>234000</v>
      </c>
      <c r="K293" s="45">
        <f>I293 - J293</f>
        <v>32960</v>
      </c>
      <c r="L293" s="46">
        <f>K293 / I293</f>
        <v>0.12346418939166916</v>
      </c>
      <c r="M293" s="45">
        <f>I293 / 12</f>
        <v>22246.666666666668</v>
      </c>
      <c r="N293" s="47">
        <f>K293 / 12</f>
        <v>2746.6666666666665</v>
      </c>
    </row>
    <row r="294" spans="2:14" ht="15.75" customHeight="1" x14ac:dyDescent="0.3"/>
    <row r="295" spans="2:14" ht="15.75" customHeight="1" x14ac:dyDescent="0.4">
      <c r="B295" s="49" t="s">
        <v>122</v>
      </c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1"/>
    </row>
    <row r="296" spans="2:14" ht="15.75" customHeight="1" x14ac:dyDescent="0.3">
      <c r="B296" s="33" t="s">
        <v>1</v>
      </c>
      <c r="C296" s="34" t="s">
        <v>3</v>
      </c>
      <c r="D296" s="34" t="s">
        <v>2</v>
      </c>
      <c r="E296" s="34" t="s">
        <v>4</v>
      </c>
      <c r="F296" s="34" t="s">
        <v>6</v>
      </c>
      <c r="G296" s="34" t="s">
        <v>5</v>
      </c>
      <c r="H296" s="34"/>
      <c r="I296" s="34" t="s">
        <v>19</v>
      </c>
      <c r="J296" s="34" t="s">
        <v>20</v>
      </c>
      <c r="K296" s="34" t="s">
        <v>21</v>
      </c>
      <c r="L296" s="35" t="s">
        <v>22</v>
      </c>
      <c r="M296" s="34" t="s">
        <v>23</v>
      </c>
      <c r="N296" s="36" t="s">
        <v>24</v>
      </c>
    </row>
    <row r="297" spans="2:14" ht="15.75" customHeight="1" x14ac:dyDescent="0.3">
      <c r="B297" s="55">
        <v>0.13</v>
      </c>
      <c r="C297" s="53">
        <v>0.1</v>
      </c>
      <c r="D297" s="53">
        <v>0.12</v>
      </c>
      <c r="E297" s="53">
        <v>0.1</v>
      </c>
      <c r="F297" s="53">
        <v>0.25</v>
      </c>
      <c r="G297" s="54">
        <v>1880</v>
      </c>
      <c r="H297" s="37"/>
      <c r="I297" s="56">
        <v>146.30000000000001</v>
      </c>
      <c r="J297" s="29">
        <f>F300</f>
        <v>92.553191489361694</v>
      </c>
      <c r="K297" s="29">
        <f>I297 - J297</f>
        <v>53.746808510638317</v>
      </c>
      <c r="L297" s="29">
        <f>1000 / (G297 / 12)</f>
        <v>6.3829787234042561</v>
      </c>
      <c r="M297" s="54" t="s">
        <v>87</v>
      </c>
      <c r="N297" s="38">
        <f>_xlfn.IFS(M297 = "Yes",K297 - L297,M297 = "No",K297)</f>
        <v>47.36382978723406</v>
      </c>
    </row>
    <row r="298" spans="2:14" ht="15.75" customHeight="1" x14ac:dyDescent="0.3">
      <c r="B298" s="39"/>
      <c r="C298" s="40"/>
      <c r="D298" s="40"/>
      <c r="E298" s="40"/>
      <c r="F298" s="40"/>
      <c r="G298" s="40"/>
      <c r="H298" s="40"/>
      <c r="I298" s="65"/>
      <c r="J298" s="40"/>
      <c r="K298" s="40"/>
      <c r="L298" s="40"/>
      <c r="M298" s="40"/>
      <c r="N298" s="41"/>
    </row>
    <row r="299" spans="2:14" ht="15.75" customHeight="1" x14ac:dyDescent="0.3">
      <c r="B299" s="33" t="s">
        <v>84</v>
      </c>
      <c r="C299" s="34" t="s">
        <v>11</v>
      </c>
      <c r="D299" s="34" t="s">
        <v>12</v>
      </c>
      <c r="E299" s="34" t="s">
        <v>13</v>
      </c>
      <c r="F299" s="34" t="s">
        <v>14</v>
      </c>
      <c r="G299" s="34" t="s">
        <v>15</v>
      </c>
      <c r="H299" s="34"/>
      <c r="I299" s="34" t="s">
        <v>26</v>
      </c>
      <c r="J299" s="34" t="s">
        <v>27</v>
      </c>
      <c r="K299" s="34" t="s">
        <v>28</v>
      </c>
      <c r="L299" s="30" t="s">
        <v>29</v>
      </c>
      <c r="M299" s="34" t="s">
        <v>30</v>
      </c>
      <c r="N299" s="36" t="s">
        <v>31</v>
      </c>
    </row>
    <row r="300" spans="2:14" ht="15.75" customHeight="1" x14ac:dyDescent="0.3">
      <c r="B300" s="52">
        <v>120000</v>
      </c>
      <c r="C300" s="42">
        <f>B300 / $G297</f>
        <v>63.829787234042556</v>
      </c>
      <c r="D300" s="43">
        <f>SUM($B297,$C297,$D297,$E297)</f>
        <v>0.44999999999999996</v>
      </c>
      <c r="E300" s="42">
        <f>(B300 * D300) / $G297</f>
        <v>28.723404255319146</v>
      </c>
      <c r="F300" s="42">
        <f>C300 + E300</f>
        <v>92.553191489361694</v>
      </c>
      <c r="G300" s="42">
        <f>F300 * (1+$F297)</f>
        <v>115.69148936170211</v>
      </c>
      <c r="H300" s="44"/>
      <c r="I300" s="45">
        <f>G297 * I297</f>
        <v>275044</v>
      </c>
      <c r="J300" s="45">
        <f>_xlfn.IFS(M297 = "Yes",G297 * (J297 + L297),M297 &lt;&gt; "Yes",G297 * (J297))</f>
        <v>185999.99999999997</v>
      </c>
      <c r="K300" s="45">
        <f>I300 - J300</f>
        <v>89044.000000000029</v>
      </c>
      <c r="L300" s="46">
        <f>K300 / I300</f>
        <v>0.32374456450604278</v>
      </c>
      <c r="M300" s="45">
        <f>I300 / 12</f>
        <v>22920.333333333332</v>
      </c>
      <c r="N300" s="47">
        <f>K300 / 12</f>
        <v>7420.3333333333358</v>
      </c>
    </row>
    <row r="301" spans="2:14" ht="15.75" customHeight="1" x14ac:dyDescent="0.3"/>
    <row r="302" spans="2:14" ht="21" x14ac:dyDescent="0.4">
      <c r="B302" s="49" t="s">
        <v>123</v>
      </c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1"/>
    </row>
    <row r="303" spans="2:14" ht="15.75" customHeight="1" x14ac:dyDescent="0.3">
      <c r="B303" s="33" t="s">
        <v>1</v>
      </c>
      <c r="C303" s="34" t="s">
        <v>3</v>
      </c>
      <c r="D303" s="34" t="s">
        <v>2</v>
      </c>
      <c r="E303" s="34" t="s">
        <v>4</v>
      </c>
      <c r="F303" s="34" t="s">
        <v>6</v>
      </c>
      <c r="G303" s="34" t="s">
        <v>5</v>
      </c>
      <c r="H303" s="34"/>
      <c r="I303" s="34" t="s">
        <v>19</v>
      </c>
      <c r="J303" s="34" t="s">
        <v>20</v>
      </c>
      <c r="K303" s="34" t="s">
        <v>21</v>
      </c>
      <c r="L303" s="35" t="s">
        <v>22</v>
      </c>
      <c r="M303" s="34" t="s">
        <v>23</v>
      </c>
      <c r="N303" s="36" t="s">
        <v>24</v>
      </c>
    </row>
    <row r="304" spans="2:14" ht="15.75" customHeight="1" x14ac:dyDescent="0.3">
      <c r="B304" s="55">
        <v>0.03</v>
      </c>
      <c r="C304" s="53">
        <v>0.1</v>
      </c>
      <c r="D304" s="53">
        <v>0.12</v>
      </c>
      <c r="E304" s="53">
        <v>0.1</v>
      </c>
      <c r="F304" s="53">
        <v>0.25</v>
      </c>
      <c r="G304" s="54">
        <v>1880</v>
      </c>
      <c r="H304" s="37"/>
      <c r="I304" s="56">
        <v>146.5</v>
      </c>
      <c r="J304" s="29">
        <f>F307</f>
        <v>111.30319148936169</v>
      </c>
      <c r="K304" s="29">
        <f>I304 - J304</f>
        <v>35.196808510638306</v>
      </c>
      <c r="L304" s="29">
        <f>1000 / (G304 / 12)</f>
        <v>6.3829787234042561</v>
      </c>
      <c r="M304" s="54" t="s">
        <v>87</v>
      </c>
      <c r="N304" s="38">
        <f>_xlfn.IFS(M304 = "Yes",K304 - L304,M304 = "No",K304)</f>
        <v>28.813829787234049</v>
      </c>
    </row>
    <row r="305" spans="2:14" ht="15.75" customHeight="1" x14ac:dyDescent="0.3">
      <c r="B305" s="39"/>
      <c r="C305" s="40"/>
      <c r="D305" s="40"/>
      <c r="E305" s="40"/>
      <c r="F305" s="40"/>
      <c r="G305" s="40"/>
      <c r="H305" s="40"/>
      <c r="I305" s="65"/>
      <c r="J305" s="40"/>
      <c r="K305" s="40"/>
      <c r="L305" s="40"/>
      <c r="M305" s="40"/>
      <c r="N305" s="41"/>
    </row>
    <row r="306" spans="2:14" ht="15.75" customHeight="1" x14ac:dyDescent="0.3">
      <c r="B306" s="33" t="s">
        <v>84</v>
      </c>
      <c r="C306" s="34" t="s">
        <v>11</v>
      </c>
      <c r="D306" s="34" t="s">
        <v>12</v>
      </c>
      <c r="E306" s="34" t="s">
        <v>13</v>
      </c>
      <c r="F306" s="34" t="s">
        <v>14</v>
      </c>
      <c r="G306" s="34" t="s">
        <v>15</v>
      </c>
      <c r="H306" s="34"/>
      <c r="I306" s="34" t="s">
        <v>26</v>
      </c>
      <c r="J306" s="34" t="s">
        <v>27</v>
      </c>
      <c r="K306" s="34" t="s">
        <v>28</v>
      </c>
      <c r="L306" s="30" t="s">
        <v>29</v>
      </c>
      <c r="M306" s="34" t="s">
        <v>30</v>
      </c>
      <c r="N306" s="36" t="s">
        <v>31</v>
      </c>
    </row>
    <row r="307" spans="2:14" ht="15.75" customHeight="1" x14ac:dyDescent="0.3">
      <c r="B307" s="52">
        <v>155000</v>
      </c>
      <c r="C307" s="42">
        <f>B307 / $G304</f>
        <v>82.446808510638292</v>
      </c>
      <c r="D307" s="43">
        <f>SUM($B304,$C304,$D304,$E304)</f>
        <v>0.35</v>
      </c>
      <c r="E307" s="42">
        <f>(B307 * D307) / $G304</f>
        <v>28.856382978723403</v>
      </c>
      <c r="F307" s="42">
        <f>C307 + E307</f>
        <v>111.30319148936169</v>
      </c>
      <c r="G307" s="42">
        <f>F307 * (1+$F304)</f>
        <v>139.12898936170211</v>
      </c>
      <c r="H307" s="44"/>
      <c r="I307" s="45">
        <f>G304 * I304</f>
        <v>275420</v>
      </c>
      <c r="J307" s="45">
        <f>_xlfn.IFS(M304 = "Yes",G304 * (J304 + L304),M304 &lt;&gt; "Yes",G304 * (J304))</f>
        <v>221249.99999999997</v>
      </c>
      <c r="K307" s="45">
        <f>I307 - J307</f>
        <v>54170.000000000029</v>
      </c>
      <c r="L307" s="46">
        <f>K307 / I307</f>
        <v>0.19668143199477173</v>
      </c>
      <c r="M307" s="45">
        <f>I307 / 12</f>
        <v>22951.666666666668</v>
      </c>
      <c r="N307" s="47">
        <f>K307 / 12</f>
        <v>4514.1666666666688</v>
      </c>
    </row>
    <row r="308" spans="2:14" ht="15.75" customHeight="1" x14ac:dyDescent="0.3"/>
    <row r="309" spans="2:14" ht="21" x14ac:dyDescent="0.4">
      <c r="B309" s="49" t="s">
        <v>124</v>
      </c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1"/>
    </row>
    <row r="310" spans="2:14" ht="15.75" customHeight="1" x14ac:dyDescent="0.3">
      <c r="B310" s="33" t="s">
        <v>1</v>
      </c>
      <c r="C310" s="34" t="s">
        <v>3</v>
      </c>
      <c r="D310" s="34" t="s">
        <v>2</v>
      </c>
      <c r="E310" s="34" t="s">
        <v>4</v>
      </c>
      <c r="F310" s="34" t="s">
        <v>6</v>
      </c>
      <c r="G310" s="34" t="s">
        <v>5</v>
      </c>
      <c r="H310" s="34"/>
      <c r="I310" s="34" t="s">
        <v>19</v>
      </c>
      <c r="J310" s="34" t="s">
        <v>20</v>
      </c>
      <c r="K310" s="34" t="s">
        <v>21</v>
      </c>
      <c r="L310" s="35" t="s">
        <v>22</v>
      </c>
      <c r="M310" s="34" t="s">
        <v>23</v>
      </c>
      <c r="N310" s="36" t="s">
        <v>24</v>
      </c>
    </row>
    <row r="311" spans="2:14" ht="15.75" customHeight="1" x14ac:dyDescent="0.3">
      <c r="B311" s="55">
        <v>0.03</v>
      </c>
      <c r="C311" s="53">
        <v>0.1</v>
      </c>
      <c r="D311" s="53">
        <v>0.12</v>
      </c>
      <c r="E311" s="53">
        <v>0.1</v>
      </c>
      <c r="F311" s="53">
        <v>0.25</v>
      </c>
      <c r="G311" s="54">
        <v>1880</v>
      </c>
      <c r="H311" s="37"/>
      <c r="I311" s="56">
        <v>170</v>
      </c>
      <c r="J311" s="29">
        <f>F314</f>
        <v>122.07446808510637</v>
      </c>
      <c r="K311" s="29">
        <f>I311 - J311</f>
        <v>47.925531914893625</v>
      </c>
      <c r="L311" s="29">
        <f>1000 / (G311 / 12)</f>
        <v>6.3829787234042561</v>
      </c>
      <c r="M311" s="54" t="s">
        <v>87</v>
      </c>
      <c r="N311" s="38">
        <f>_xlfn.IFS(M311 = "Yes",K311 - L311,M311 = "No",K311)</f>
        <v>41.542553191489368</v>
      </c>
    </row>
    <row r="312" spans="2:14" ht="15.75" customHeight="1" x14ac:dyDescent="0.3">
      <c r="B312" s="39"/>
      <c r="C312" s="40"/>
      <c r="D312" s="40"/>
      <c r="E312" s="40"/>
      <c r="F312" s="40"/>
      <c r="G312" s="40"/>
      <c r="H312" s="40"/>
      <c r="I312" s="65"/>
      <c r="J312" s="40"/>
      <c r="K312" s="40"/>
      <c r="L312" s="40"/>
      <c r="M312" s="40"/>
      <c r="N312" s="41"/>
    </row>
    <row r="313" spans="2:14" ht="15.75" customHeight="1" x14ac:dyDescent="0.3">
      <c r="B313" s="33" t="s">
        <v>84</v>
      </c>
      <c r="C313" s="34" t="s">
        <v>11</v>
      </c>
      <c r="D313" s="34" t="s">
        <v>12</v>
      </c>
      <c r="E313" s="34" t="s">
        <v>13</v>
      </c>
      <c r="F313" s="34" t="s">
        <v>14</v>
      </c>
      <c r="G313" s="34" t="s">
        <v>15</v>
      </c>
      <c r="H313" s="34"/>
      <c r="I313" s="34" t="s">
        <v>26</v>
      </c>
      <c r="J313" s="34" t="s">
        <v>27</v>
      </c>
      <c r="K313" s="34" t="s">
        <v>28</v>
      </c>
      <c r="L313" s="30" t="s">
        <v>29</v>
      </c>
      <c r="M313" s="34" t="s">
        <v>30</v>
      </c>
      <c r="N313" s="36" t="s">
        <v>31</v>
      </c>
    </row>
    <row r="314" spans="2:14" ht="15.75" customHeight="1" x14ac:dyDescent="0.3">
      <c r="B314" s="52">
        <v>170000</v>
      </c>
      <c r="C314" s="42">
        <f>B314 / $G311</f>
        <v>90.425531914893611</v>
      </c>
      <c r="D314" s="43">
        <f>SUM($B311,$C311,$D311,$E311)</f>
        <v>0.35</v>
      </c>
      <c r="E314" s="42">
        <f>(B314 * D314) / $G311</f>
        <v>31.648936170212764</v>
      </c>
      <c r="F314" s="42">
        <f>C314 + E314</f>
        <v>122.07446808510637</v>
      </c>
      <c r="G314" s="42">
        <f>F314 * (1+$F311)</f>
        <v>152.59308510638297</v>
      </c>
      <c r="H314" s="44"/>
      <c r="I314" s="45">
        <f>G311 * I311</f>
        <v>319600</v>
      </c>
      <c r="J314" s="45">
        <f>_xlfn.IFS(M311 = "Yes",G311 * (J311 + L311),M311 &lt;&gt; "Yes",G311 * (J311))</f>
        <v>241500</v>
      </c>
      <c r="K314" s="45">
        <f>I314 - J314</f>
        <v>78100</v>
      </c>
      <c r="L314" s="46">
        <f>K314 / I314</f>
        <v>0.24436795994993743</v>
      </c>
      <c r="M314" s="45">
        <f>I314 / 12</f>
        <v>26633.333333333332</v>
      </c>
      <c r="N314" s="47">
        <f>K314 / 12</f>
        <v>6508.333333333333</v>
      </c>
    </row>
    <row r="315" spans="2:14" ht="15.75" customHeight="1" x14ac:dyDescent="0.3"/>
    <row r="316" spans="2:14" ht="15.75" customHeight="1" x14ac:dyDescent="0.3"/>
    <row r="317" spans="2:14" ht="15.75" customHeight="1" x14ac:dyDescent="0.4">
      <c r="B317" s="49" t="s">
        <v>125</v>
      </c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1"/>
    </row>
    <row r="318" spans="2:14" ht="15.75" customHeight="1" x14ac:dyDescent="0.3">
      <c r="B318" s="33" t="s">
        <v>1</v>
      </c>
      <c r="C318" s="34" t="s">
        <v>3</v>
      </c>
      <c r="D318" s="34" t="s">
        <v>2</v>
      </c>
      <c r="E318" s="34" t="s">
        <v>4</v>
      </c>
      <c r="F318" s="34" t="s">
        <v>6</v>
      </c>
      <c r="G318" s="34" t="s">
        <v>5</v>
      </c>
      <c r="H318" s="34"/>
      <c r="I318" s="34" t="s">
        <v>19</v>
      </c>
      <c r="J318" s="34" t="s">
        <v>20</v>
      </c>
      <c r="K318" s="34" t="s">
        <v>21</v>
      </c>
      <c r="L318" s="35" t="s">
        <v>22</v>
      </c>
      <c r="M318" s="34" t="s">
        <v>23</v>
      </c>
      <c r="N318" s="36" t="s">
        <v>24</v>
      </c>
    </row>
    <row r="319" spans="2:14" ht="15.75" customHeight="1" x14ac:dyDescent="0.3">
      <c r="B319" s="55">
        <v>0.13</v>
      </c>
      <c r="C319" s="53">
        <v>0.1</v>
      </c>
      <c r="D319" s="53">
        <v>0.12</v>
      </c>
      <c r="E319" s="53">
        <v>0.1</v>
      </c>
      <c r="F319" s="53">
        <v>0.25</v>
      </c>
      <c r="G319" s="54">
        <v>1880</v>
      </c>
      <c r="H319" s="37"/>
      <c r="I319" s="56">
        <v>175</v>
      </c>
      <c r="J319" s="29">
        <f>F322</f>
        <v>127.26063829787233</v>
      </c>
      <c r="K319" s="29">
        <f>I319 - J319</f>
        <v>47.739361702127667</v>
      </c>
      <c r="L319" s="29">
        <f>1000 / (G319 / 12)</f>
        <v>6.3829787234042561</v>
      </c>
      <c r="M319" s="54" t="s">
        <v>87</v>
      </c>
      <c r="N319" s="38">
        <f>_xlfn.IFS(M319 = "Yes",K319 - L319,M319 = "No",K319)</f>
        <v>41.35638297872341</v>
      </c>
    </row>
    <row r="320" spans="2:14" ht="15.75" customHeight="1" x14ac:dyDescent="0.3">
      <c r="B320" s="39"/>
      <c r="C320" s="40"/>
      <c r="D320" s="40"/>
      <c r="E320" s="40"/>
      <c r="F320" s="40"/>
      <c r="G320" s="40"/>
      <c r="H320" s="40"/>
      <c r="I320" s="65"/>
      <c r="J320" s="40"/>
      <c r="K320" s="40"/>
      <c r="L320" s="40"/>
      <c r="M320" s="40"/>
      <c r="N320" s="41"/>
    </row>
    <row r="321" spans="2:14" ht="15.75" customHeight="1" x14ac:dyDescent="0.3">
      <c r="B321" s="33" t="s">
        <v>84</v>
      </c>
      <c r="C321" s="34" t="s">
        <v>11</v>
      </c>
      <c r="D321" s="34" t="s">
        <v>12</v>
      </c>
      <c r="E321" s="34" t="s">
        <v>13</v>
      </c>
      <c r="F321" s="34" t="s">
        <v>14</v>
      </c>
      <c r="G321" s="34" t="s">
        <v>15</v>
      </c>
      <c r="H321" s="34"/>
      <c r="I321" s="34" t="s">
        <v>26</v>
      </c>
      <c r="J321" s="34" t="s">
        <v>27</v>
      </c>
      <c r="K321" s="34" t="s">
        <v>28</v>
      </c>
      <c r="L321" s="30" t="s">
        <v>29</v>
      </c>
      <c r="M321" s="34" t="s">
        <v>30</v>
      </c>
      <c r="N321" s="36" t="s">
        <v>31</v>
      </c>
    </row>
    <row r="322" spans="2:14" ht="15.75" customHeight="1" x14ac:dyDescent="0.3">
      <c r="B322" s="52">
        <v>165000</v>
      </c>
      <c r="C322" s="42">
        <f>B322 / $G319</f>
        <v>87.765957446808514</v>
      </c>
      <c r="D322" s="43">
        <f>SUM($B319,$C319,$D319,$E319)</f>
        <v>0.44999999999999996</v>
      </c>
      <c r="E322" s="42">
        <f>(B322 * D322) / $G319</f>
        <v>39.494680851063819</v>
      </c>
      <c r="F322" s="42">
        <f>C322 + E322</f>
        <v>127.26063829787233</v>
      </c>
      <c r="G322" s="42">
        <f>F322 * (1+$F319)</f>
        <v>159.07579787234042</v>
      </c>
      <c r="H322" s="44"/>
      <c r="I322" s="45">
        <f>G319 * I319</f>
        <v>329000</v>
      </c>
      <c r="J322" s="45">
        <f>_xlfn.IFS(M319 = "Yes",G319 * (J319 + L319),M319 &lt;&gt; "Yes",G319 * (J319))</f>
        <v>251249.99999999997</v>
      </c>
      <c r="K322" s="45">
        <f>I322 - J322</f>
        <v>77750.000000000029</v>
      </c>
      <c r="L322" s="46">
        <f>K322 / I322</f>
        <v>0.23632218844984812</v>
      </c>
      <c r="M322" s="45">
        <f>I322 / 12</f>
        <v>27416.666666666668</v>
      </c>
      <c r="N322" s="47">
        <f>K322 / 12</f>
        <v>6479.1666666666688</v>
      </c>
    </row>
    <row r="323" spans="2:14" ht="15.75" customHeight="1" x14ac:dyDescent="0.3"/>
    <row r="324" spans="2:14" ht="15.75" customHeight="1" x14ac:dyDescent="0.4">
      <c r="B324" s="49" t="s">
        <v>122</v>
      </c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1"/>
    </row>
    <row r="325" spans="2:14" ht="15.75" customHeight="1" x14ac:dyDescent="0.3">
      <c r="B325" s="33" t="s">
        <v>1</v>
      </c>
      <c r="C325" s="34" t="s">
        <v>3</v>
      </c>
      <c r="D325" s="34" t="s">
        <v>2</v>
      </c>
      <c r="E325" s="34" t="s">
        <v>4</v>
      </c>
      <c r="F325" s="34" t="s">
        <v>6</v>
      </c>
      <c r="G325" s="34" t="s">
        <v>5</v>
      </c>
      <c r="H325" s="34"/>
      <c r="I325" s="34" t="s">
        <v>19</v>
      </c>
      <c r="J325" s="34" t="s">
        <v>20</v>
      </c>
      <c r="K325" s="34" t="s">
        <v>21</v>
      </c>
      <c r="L325" s="35" t="s">
        <v>22</v>
      </c>
      <c r="M325" s="34" t="s">
        <v>23</v>
      </c>
      <c r="N325" s="36" t="s">
        <v>24</v>
      </c>
    </row>
    <row r="326" spans="2:14" ht="15.75" customHeight="1" x14ac:dyDescent="0.3">
      <c r="B326" s="55">
        <v>0.13</v>
      </c>
      <c r="C326" s="53">
        <v>0.1</v>
      </c>
      <c r="D326" s="53">
        <v>0.12</v>
      </c>
      <c r="E326" s="53">
        <v>0.1</v>
      </c>
      <c r="F326" s="53">
        <v>0.25</v>
      </c>
      <c r="G326" s="54">
        <v>1880</v>
      </c>
      <c r="H326" s="37"/>
      <c r="I326" s="56">
        <v>146</v>
      </c>
      <c r="J326" s="29">
        <f>F329</f>
        <v>92.553191489361694</v>
      </c>
      <c r="K326" s="29">
        <f>I326 - J326</f>
        <v>53.446808510638306</v>
      </c>
      <c r="L326" s="29">
        <f>1000 / (G326 / 12)</f>
        <v>6.3829787234042561</v>
      </c>
      <c r="M326" s="54" t="s">
        <v>87</v>
      </c>
      <c r="N326" s="38">
        <f>_xlfn.IFS(M326 = "Yes",K326 - L326,M326 = "No",K326)</f>
        <v>47.063829787234049</v>
      </c>
    </row>
    <row r="327" spans="2:14" ht="15.75" customHeight="1" x14ac:dyDescent="0.3">
      <c r="B327" s="39"/>
      <c r="C327" s="40"/>
      <c r="D327" s="40"/>
      <c r="E327" s="40"/>
      <c r="F327" s="40"/>
      <c r="G327" s="40"/>
      <c r="H327" s="40"/>
      <c r="I327" s="65"/>
      <c r="J327" s="40"/>
      <c r="K327" s="40"/>
      <c r="L327" s="40"/>
      <c r="M327" s="40"/>
      <c r="N327" s="41"/>
    </row>
    <row r="328" spans="2:14" ht="43.2" x14ac:dyDescent="0.3">
      <c r="B328" s="33" t="s">
        <v>84</v>
      </c>
      <c r="C328" s="34" t="s">
        <v>11</v>
      </c>
      <c r="D328" s="34" t="s">
        <v>12</v>
      </c>
      <c r="E328" s="34" t="s">
        <v>13</v>
      </c>
      <c r="F328" s="34" t="s">
        <v>14</v>
      </c>
      <c r="G328" s="34" t="s">
        <v>15</v>
      </c>
      <c r="H328" s="34"/>
      <c r="I328" s="34" t="s">
        <v>26</v>
      </c>
      <c r="J328" s="34" t="s">
        <v>27</v>
      </c>
      <c r="K328" s="34" t="s">
        <v>28</v>
      </c>
      <c r="L328" s="30" t="s">
        <v>29</v>
      </c>
      <c r="M328" s="34" t="s">
        <v>30</v>
      </c>
      <c r="N328" s="36" t="s">
        <v>31</v>
      </c>
    </row>
    <row r="329" spans="2:14" ht="15.75" customHeight="1" x14ac:dyDescent="0.3">
      <c r="B329" s="52">
        <v>120000</v>
      </c>
      <c r="C329" s="42">
        <f>B329 / $G326</f>
        <v>63.829787234042556</v>
      </c>
      <c r="D329" s="43">
        <f>SUM($B326,$C326,$D326,$E326)</f>
        <v>0.44999999999999996</v>
      </c>
      <c r="E329" s="42">
        <f>(B329 * D329) / $G326</f>
        <v>28.723404255319146</v>
      </c>
      <c r="F329" s="42">
        <f>C329 + E329</f>
        <v>92.553191489361694</v>
      </c>
      <c r="G329" s="42">
        <f>F329 * (1+$F326)</f>
        <v>115.69148936170211</v>
      </c>
      <c r="H329" s="44"/>
      <c r="I329" s="45">
        <f>G326 * I326</f>
        <v>274480</v>
      </c>
      <c r="J329" s="45">
        <f>_xlfn.IFS(M326 = "Yes",G326 * (J326 + L326),M326 &lt;&gt; "Yes",G326 * (J326))</f>
        <v>185999.99999999997</v>
      </c>
      <c r="K329" s="45">
        <f>I329 - J329</f>
        <v>88480.000000000029</v>
      </c>
      <c r="L329" s="46">
        <f>K329 / I329</f>
        <v>0.322354998542699</v>
      </c>
      <c r="M329" s="45">
        <f>I329 / 12</f>
        <v>22873.333333333332</v>
      </c>
      <c r="N329" s="47">
        <f>K329 / 12</f>
        <v>7373.3333333333358</v>
      </c>
    </row>
    <row r="330" spans="2:14" ht="15.75" customHeight="1" x14ac:dyDescent="0.3"/>
    <row r="331" spans="2:14" ht="15.75" customHeight="1" x14ac:dyDescent="0.4">
      <c r="B331" s="49" t="s">
        <v>126</v>
      </c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1"/>
    </row>
    <row r="332" spans="2:14" ht="15.75" customHeight="1" x14ac:dyDescent="0.3">
      <c r="B332" s="33" t="s">
        <v>1</v>
      </c>
      <c r="C332" s="34" t="s">
        <v>3</v>
      </c>
      <c r="D332" s="34" t="s">
        <v>2</v>
      </c>
      <c r="E332" s="34" t="s">
        <v>4</v>
      </c>
      <c r="F332" s="34" t="s">
        <v>6</v>
      </c>
      <c r="G332" s="34" t="s">
        <v>5</v>
      </c>
      <c r="H332" s="34"/>
      <c r="I332" s="34" t="s">
        <v>19</v>
      </c>
      <c r="J332" s="34" t="s">
        <v>20</v>
      </c>
      <c r="K332" s="34" t="s">
        <v>21</v>
      </c>
      <c r="L332" s="35" t="s">
        <v>22</v>
      </c>
      <c r="M332" s="34" t="s">
        <v>23</v>
      </c>
      <c r="N332" s="36" t="s">
        <v>24</v>
      </c>
    </row>
    <row r="333" spans="2:14" ht="15.75" customHeight="1" x14ac:dyDescent="0.3">
      <c r="B333" s="55">
        <v>0.03</v>
      </c>
      <c r="C333" s="53">
        <v>0.05</v>
      </c>
      <c r="D333" s="53">
        <v>0.12</v>
      </c>
      <c r="E333" s="53">
        <v>0.1</v>
      </c>
      <c r="F333" s="53">
        <v>0.25</v>
      </c>
      <c r="G333" s="54">
        <v>1880</v>
      </c>
      <c r="H333" s="37"/>
      <c r="I333" s="56">
        <v>142</v>
      </c>
      <c r="J333" s="29">
        <f>F336</f>
        <v>124.46808510638299</v>
      </c>
      <c r="K333" s="29">
        <f>I333 - J333</f>
        <v>17.531914893617014</v>
      </c>
      <c r="L333" s="29">
        <f>1000 / (G333 / 12)</f>
        <v>6.3829787234042561</v>
      </c>
      <c r="M333" s="54" t="s">
        <v>32</v>
      </c>
      <c r="N333" s="38">
        <f>_xlfn.IFS(M333 = "Yes",K333 - L333,M333 = "No",K333)</f>
        <v>17.531914893617014</v>
      </c>
    </row>
    <row r="334" spans="2:14" ht="15.75" customHeight="1" x14ac:dyDescent="0.3">
      <c r="B334" s="39"/>
      <c r="C334" s="40"/>
      <c r="D334" s="40"/>
      <c r="E334" s="40"/>
      <c r="F334" s="40"/>
      <c r="G334" s="40"/>
      <c r="H334" s="40"/>
      <c r="I334" s="65"/>
      <c r="J334" s="40"/>
      <c r="K334" s="40"/>
      <c r="L334" s="40"/>
      <c r="M334" s="40"/>
      <c r="N334" s="41"/>
    </row>
    <row r="335" spans="2:14" ht="15.75" customHeight="1" x14ac:dyDescent="0.3">
      <c r="B335" s="33" t="s">
        <v>84</v>
      </c>
      <c r="C335" s="34" t="s">
        <v>11</v>
      </c>
      <c r="D335" s="34" t="s">
        <v>12</v>
      </c>
      <c r="E335" s="34" t="s">
        <v>13</v>
      </c>
      <c r="F335" s="34" t="s">
        <v>14</v>
      </c>
      <c r="G335" s="34" t="s">
        <v>15</v>
      </c>
      <c r="H335" s="34"/>
      <c r="I335" s="34" t="s">
        <v>26</v>
      </c>
      <c r="J335" s="34" t="s">
        <v>27</v>
      </c>
      <c r="K335" s="34" t="s">
        <v>28</v>
      </c>
      <c r="L335" s="30" t="s">
        <v>29</v>
      </c>
      <c r="M335" s="34" t="s">
        <v>30</v>
      </c>
      <c r="N335" s="36" t="s">
        <v>31</v>
      </c>
    </row>
    <row r="336" spans="2:14" ht="15.75" customHeight="1" x14ac:dyDescent="0.3">
      <c r="B336" s="52">
        <v>180000</v>
      </c>
      <c r="C336" s="42">
        <f>B336 / $G333</f>
        <v>95.744680851063833</v>
      </c>
      <c r="D336" s="43">
        <f>SUM($B333,$C333,$D333,$E333)</f>
        <v>0.30000000000000004</v>
      </c>
      <c r="E336" s="42">
        <f>(B336 * D336) / $G333</f>
        <v>28.723404255319153</v>
      </c>
      <c r="F336" s="42">
        <f>C336 + E336</f>
        <v>124.46808510638299</v>
      </c>
      <c r="G336" s="42">
        <f>F336 * (1+$F333)</f>
        <v>155.58510638297872</v>
      </c>
      <c r="H336" s="44"/>
      <c r="I336" s="45">
        <f>G333 * I333</f>
        <v>266960</v>
      </c>
      <c r="J336" s="45">
        <f>_xlfn.IFS(M333 = "Yes",G333 * (J333 + L333),M333 &lt;&gt; "Yes",G333 * (J333))</f>
        <v>234000</v>
      </c>
      <c r="K336" s="45">
        <f>I336 - J336</f>
        <v>32960</v>
      </c>
      <c r="L336" s="46">
        <f>K336 / I336</f>
        <v>0.12346418939166916</v>
      </c>
      <c r="M336" s="45">
        <f>I336 / 12</f>
        <v>22246.666666666668</v>
      </c>
      <c r="N336" s="47">
        <f>K336 / 12</f>
        <v>2746.6666666666665</v>
      </c>
    </row>
    <row r="337" spans="2:14" ht="15.75" customHeight="1" x14ac:dyDescent="0.3"/>
    <row r="338" spans="2:14" ht="15.75" customHeight="1" x14ac:dyDescent="0.4">
      <c r="B338" s="49" t="s">
        <v>127</v>
      </c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1"/>
    </row>
    <row r="339" spans="2:14" ht="15.75" customHeight="1" x14ac:dyDescent="0.3">
      <c r="B339" s="33" t="s">
        <v>1</v>
      </c>
      <c r="C339" s="34" t="s">
        <v>3</v>
      </c>
      <c r="D339" s="34" t="s">
        <v>2</v>
      </c>
      <c r="E339" s="34" t="s">
        <v>4</v>
      </c>
      <c r="F339" s="34" t="s">
        <v>6</v>
      </c>
      <c r="G339" s="34" t="s">
        <v>5</v>
      </c>
      <c r="H339" s="34"/>
      <c r="I339" s="34" t="s">
        <v>19</v>
      </c>
      <c r="J339" s="34" t="s">
        <v>20</v>
      </c>
      <c r="K339" s="34" t="s">
        <v>21</v>
      </c>
      <c r="L339" s="35" t="s">
        <v>22</v>
      </c>
      <c r="M339" s="34" t="s">
        <v>23</v>
      </c>
      <c r="N339" s="36" t="s">
        <v>24</v>
      </c>
    </row>
    <row r="340" spans="2:14" ht="15.75" customHeight="1" x14ac:dyDescent="0.3">
      <c r="B340" s="55">
        <v>0.13</v>
      </c>
      <c r="C340" s="53">
        <v>0.15</v>
      </c>
      <c r="D340" s="53">
        <v>0.12</v>
      </c>
      <c r="E340" s="53">
        <v>0.1</v>
      </c>
      <c r="F340" s="53">
        <v>0.25</v>
      </c>
      <c r="G340" s="54">
        <v>1880</v>
      </c>
      <c r="H340" s="37"/>
      <c r="I340" s="56">
        <v>146.38999999999999</v>
      </c>
      <c r="J340" s="29">
        <f>F343</f>
        <v>129.65425531914894</v>
      </c>
      <c r="K340" s="29">
        <f>I340 - J340</f>
        <v>16.735744680851042</v>
      </c>
      <c r="L340" s="29">
        <f>1000 / (G340 / 12)</f>
        <v>6.3829787234042561</v>
      </c>
      <c r="M340" s="54" t="s">
        <v>32</v>
      </c>
      <c r="N340" s="38">
        <f>_xlfn.IFS(M340 = "Yes",K340 - L340,M340 = "No",K340)</f>
        <v>16.735744680851042</v>
      </c>
    </row>
    <row r="341" spans="2:14" ht="15.75" customHeight="1" x14ac:dyDescent="0.3">
      <c r="B341" s="39"/>
      <c r="C341" s="40"/>
      <c r="D341" s="40"/>
      <c r="E341" s="40"/>
      <c r="F341" s="40"/>
      <c r="G341" s="40"/>
      <c r="H341" s="40"/>
      <c r="I341" s="255"/>
      <c r="J341" s="40"/>
      <c r="K341" s="40"/>
      <c r="L341" s="40"/>
      <c r="M341" s="40"/>
      <c r="N341" s="41"/>
    </row>
    <row r="342" spans="2:14" ht="15.75" customHeight="1" x14ac:dyDescent="0.3">
      <c r="B342" s="33" t="s">
        <v>84</v>
      </c>
      <c r="C342" s="34" t="s">
        <v>11</v>
      </c>
      <c r="D342" s="34" t="s">
        <v>12</v>
      </c>
      <c r="E342" s="34" t="s">
        <v>13</v>
      </c>
      <c r="F342" s="34" t="s">
        <v>14</v>
      </c>
      <c r="G342" s="34" t="s">
        <v>15</v>
      </c>
      <c r="H342" s="34"/>
      <c r="I342" s="34" t="s">
        <v>26</v>
      </c>
      <c r="J342" s="34" t="s">
        <v>27</v>
      </c>
      <c r="K342" s="34" t="s">
        <v>28</v>
      </c>
      <c r="L342" s="30" t="s">
        <v>29</v>
      </c>
      <c r="M342" s="34" t="s">
        <v>30</v>
      </c>
      <c r="N342" s="36" t="s">
        <v>31</v>
      </c>
    </row>
    <row r="343" spans="2:14" ht="15.75" customHeight="1" x14ac:dyDescent="0.3">
      <c r="B343" s="52">
        <f>162500</f>
        <v>162500</v>
      </c>
      <c r="C343" s="42">
        <f>B343 / $G340</f>
        <v>86.436170212765958</v>
      </c>
      <c r="D343" s="43">
        <f>SUM($B340,$C340,$D340,$E340)</f>
        <v>0.5</v>
      </c>
      <c r="E343" s="42">
        <f>(B343 * D343) / $G340</f>
        <v>43.218085106382979</v>
      </c>
      <c r="F343" s="42">
        <f>C343 + E343</f>
        <v>129.65425531914894</v>
      </c>
      <c r="G343" s="42">
        <f>F343 * (1+$F340)</f>
        <v>162.06781914893617</v>
      </c>
      <c r="H343" s="44"/>
      <c r="I343" s="45">
        <f>G340 * I340</f>
        <v>275213.19999999995</v>
      </c>
      <c r="J343" s="45">
        <f>_xlfn.IFS(M340 = "Yes",G340 * (J340 + L340),M340 &lt;&gt; "Yes",G340 * (J340))</f>
        <v>243750.00000000003</v>
      </c>
      <c r="K343" s="45">
        <f>I343 - J343</f>
        <v>31463.199999999924</v>
      </c>
      <c r="L343" s="46">
        <f>K343 / I343</f>
        <v>0.11432300485587148</v>
      </c>
      <c r="M343" s="45">
        <f>I343 / 12</f>
        <v>22934.433333333331</v>
      </c>
      <c r="N343" s="47">
        <f>K343 / 12</f>
        <v>2621.933333333327</v>
      </c>
    </row>
    <row r="344" spans="2:14" ht="15.75" customHeight="1" x14ac:dyDescent="0.3">
      <c r="B344" s="64"/>
    </row>
    <row r="345" spans="2:14" ht="15.75" customHeight="1" x14ac:dyDescent="0.4">
      <c r="B345" s="49" t="s">
        <v>128</v>
      </c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1"/>
    </row>
    <row r="346" spans="2:14" ht="15.75" customHeight="1" x14ac:dyDescent="0.3">
      <c r="B346" s="33" t="s">
        <v>1</v>
      </c>
      <c r="C346" s="34" t="s">
        <v>3</v>
      </c>
      <c r="D346" s="34" t="s">
        <v>2</v>
      </c>
      <c r="E346" s="34" t="s">
        <v>4</v>
      </c>
      <c r="F346" s="34" t="s">
        <v>6</v>
      </c>
      <c r="G346" s="34" t="s">
        <v>5</v>
      </c>
      <c r="H346" s="34"/>
      <c r="I346" s="34" t="s">
        <v>19</v>
      </c>
      <c r="J346" s="34" t="s">
        <v>20</v>
      </c>
      <c r="K346" s="34" t="s">
        <v>21</v>
      </c>
      <c r="L346" s="35" t="s">
        <v>22</v>
      </c>
      <c r="M346" s="34" t="s">
        <v>23</v>
      </c>
      <c r="N346" s="36" t="s">
        <v>24</v>
      </c>
    </row>
    <row r="347" spans="2:14" ht="15.75" customHeight="1" x14ac:dyDescent="0.3">
      <c r="B347" s="55">
        <v>0.13</v>
      </c>
      <c r="C347" s="53">
        <v>0.1</v>
      </c>
      <c r="D347" s="53">
        <v>0.12</v>
      </c>
      <c r="E347" s="53">
        <v>0.1</v>
      </c>
      <c r="F347" s="53">
        <v>0.25</v>
      </c>
      <c r="G347" s="54">
        <v>1880</v>
      </c>
      <c r="H347" s="37"/>
      <c r="I347" s="56">
        <v>155</v>
      </c>
      <c r="J347" s="29">
        <f>F350</f>
        <v>107.97872340425531</v>
      </c>
      <c r="K347" s="29">
        <f>I347 - J347</f>
        <v>47.021276595744695</v>
      </c>
      <c r="L347" s="29">
        <f>1000 / (G347 / 12)</f>
        <v>6.3829787234042561</v>
      </c>
      <c r="M347" s="54" t="s">
        <v>87</v>
      </c>
      <c r="N347" s="38">
        <f>_xlfn.IFS(M347 = "Yes",K347 - L347,M347 = "No",K347)</f>
        <v>40.638297872340438</v>
      </c>
    </row>
    <row r="348" spans="2:14" ht="15.75" customHeight="1" x14ac:dyDescent="0.3">
      <c r="B348" s="39"/>
      <c r="C348" s="40"/>
      <c r="D348" s="40"/>
      <c r="E348" s="40"/>
      <c r="F348" s="40"/>
      <c r="G348" s="40"/>
      <c r="H348" s="40"/>
      <c r="I348" s="65"/>
      <c r="J348" s="40"/>
      <c r="K348" s="40"/>
      <c r="L348" s="40"/>
      <c r="M348" s="40"/>
      <c r="N348" s="41"/>
    </row>
    <row r="349" spans="2:14" ht="15.75" customHeight="1" x14ac:dyDescent="0.3">
      <c r="B349" s="33" t="s">
        <v>84</v>
      </c>
      <c r="C349" s="34" t="s">
        <v>11</v>
      </c>
      <c r="D349" s="34" t="s">
        <v>12</v>
      </c>
      <c r="E349" s="34" t="s">
        <v>13</v>
      </c>
      <c r="F349" s="34" t="s">
        <v>14</v>
      </c>
      <c r="G349" s="34" t="s">
        <v>15</v>
      </c>
      <c r="H349" s="34"/>
      <c r="I349" s="34" t="s">
        <v>26</v>
      </c>
      <c r="J349" s="34" t="s">
        <v>27</v>
      </c>
      <c r="K349" s="34" t="s">
        <v>28</v>
      </c>
      <c r="L349" s="30" t="s">
        <v>29</v>
      </c>
      <c r="M349" s="34" t="s">
        <v>30</v>
      </c>
      <c r="N349" s="36" t="s">
        <v>31</v>
      </c>
    </row>
    <row r="350" spans="2:14" ht="15.75" customHeight="1" x14ac:dyDescent="0.3">
      <c r="B350" s="52">
        <v>140000</v>
      </c>
      <c r="C350" s="42">
        <f>B350 / $G347</f>
        <v>74.468085106382972</v>
      </c>
      <c r="D350" s="43">
        <f>SUM($B347,$C347,$D347,$E347)</f>
        <v>0.44999999999999996</v>
      </c>
      <c r="E350" s="42">
        <f>(B350 * D350) / $G347</f>
        <v>33.510638297872333</v>
      </c>
      <c r="F350" s="42">
        <f>C350 + E350</f>
        <v>107.97872340425531</v>
      </c>
      <c r="G350" s="42">
        <f>F350 * (1+$F347)</f>
        <v>134.97340425531914</v>
      </c>
      <c r="H350" s="44"/>
      <c r="I350" s="45">
        <f>G347 * I347</f>
        <v>291400</v>
      </c>
      <c r="J350" s="45">
        <f>_xlfn.IFS(M347 = "Yes",G347 * (J347 + L347),M347 &lt;&gt; "Yes",G347 * (J347))</f>
        <v>214999.99999999997</v>
      </c>
      <c r="K350" s="45">
        <f>I350 - J350</f>
        <v>76400.000000000029</v>
      </c>
      <c r="L350" s="46">
        <f>K350 / I350</f>
        <v>0.26218256691832542</v>
      </c>
      <c r="M350" s="45">
        <f>I350 / 12</f>
        <v>24283.333333333332</v>
      </c>
      <c r="N350" s="47">
        <f>K350 / 12</f>
        <v>6366.6666666666688</v>
      </c>
    </row>
    <row r="351" spans="2:14" ht="15.75" customHeight="1" x14ac:dyDescent="0.3"/>
    <row r="352" spans="2:14" ht="15.75" customHeight="1" x14ac:dyDescent="0.3"/>
    <row r="353" spans="2:14" ht="15.75" customHeight="1" x14ac:dyDescent="0.3"/>
    <row r="354" spans="2:14" ht="15.75" customHeight="1" x14ac:dyDescent="0.4">
      <c r="B354" s="49" t="s">
        <v>129</v>
      </c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1"/>
    </row>
    <row r="355" spans="2:14" ht="15.75" customHeight="1" x14ac:dyDescent="0.3">
      <c r="B355" s="33" t="s">
        <v>1</v>
      </c>
      <c r="C355" s="34" t="s">
        <v>3</v>
      </c>
      <c r="D355" s="34" t="s">
        <v>2</v>
      </c>
      <c r="E355" s="34" t="s">
        <v>4</v>
      </c>
      <c r="F355" s="34" t="s">
        <v>6</v>
      </c>
      <c r="G355" s="34" t="s">
        <v>5</v>
      </c>
      <c r="H355" s="34"/>
      <c r="I355" s="34" t="s">
        <v>19</v>
      </c>
      <c r="J355" s="34" t="s">
        <v>20</v>
      </c>
      <c r="K355" s="34" t="s">
        <v>21</v>
      </c>
      <c r="L355" s="35" t="s">
        <v>22</v>
      </c>
      <c r="M355" s="34" t="s">
        <v>23</v>
      </c>
      <c r="N355" s="36" t="s">
        <v>24</v>
      </c>
    </row>
    <row r="356" spans="2:14" ht="15.75" customHeight="1" x14ac:dyDescent="0.3">
      <c r="B356" s="55">
        <v>0</v>
      </c>
      <c r="C356" s="53">
        <v>0</v>
      </c>
      <c r="D356" s="53">
        <v>0</v>
      </c>
      <c r="E356" s="53">
        <v>0.05</v>
      </c>
      <c r="F356" s="53">
        <v>0.25</v>
      </c>
      <c r="G356" s="140">
        <v>1880</v>
      </c>
      <c r="H356" s="121"/>
      <c r="I356" s="117">
        <v>166.14</v>
      </c>
      <c r="J356" s="118">
        <f>F359</f>
        <v>126</v>
      </c>
      <c r="K356" s="118">
        <f>I356 - J356</f>
        <v>40.139999999999986</v>
      </c>
      <c r="L356" s="118">
        <f>1000 / (G356 / 12)</f>
        <v>6.3829787234042561</v>
      </c>
      <c r="M356" s="115" t="s">
        <v>32</v>
      </c>
      <c r="N356" s="119">
        <f>_xlfn.IFS(M356 = "Yes",K356 - L356,M356 = "No",K356)</f>
        <v>40.139999999999986</v>
      </c>
    </row>
    <row r="357" spans="2:14" ht="15.75" customHeight="1" x14ac:dyDescent="0.3">
      <c r="B357" s="120"/>
      <c r="C357" s="121"/>
      <c r="D357" s="121"/>
      <c r="E357" s="121"/>
      <c r="F357" s="121"/>
      <c r="G357" s="121">
        <v>1800</v>
      </c>
      <c r="H357" s="63"/>
      <c r="I357" s="121"/>
      <c r="J357" s="121"/>
      <c r="K357" s="121"/>
      <c r="L357" s="121"/>
      <c r="M357" s="121"/>
      <c r="N357" s="122"/>
    </row>
    <row r="358" spans="2:14" ht="15.75" customHeight="1" x14ac:dyDescent="0.3">
      <c r="B358" s="123" t="s">
        <v>84</v>
      </c>
      <c r="C358" s="124" t="s">
        <v>11</v>
      </c>
      <c r="D358" s="124" t="s">
        <v>12</v>
      </c>
      <c r="E358" s="124" t="s">
        <v>13</v>
      </c>
      <c r="F358" s="124" t="s">
        <v>14</v>
      </c>
      <c r="G358" s="124" t="s">
        <v>15</v>
      </c>
      <c r="H358" s="124"/>
      <c r="I358" s="124" t="s">
        <v>26</v>
      </c>
      <c r="J358" s="124" t="s">
        <v>27</v>
      </c>
      <c r="K358" s="124" t="s">
        <v>28</v>
      </c>
      <c r="L358" s="125" t="s">
        <v>29</v>
      </c>
      <c r="M358" s="124" t="s">
        <v>30</v>
      </c>
      <c r="N358" s="126" t="s">
        <v>31</v>
      </c>
    </row>
    <row r="359" spans="2:14" ht="15.75" customHeight="1" x14ac:dyDescent="0.3">
      <c r="B359" s="52">
        <f>120*G356</f>
        <v>225600</v>
      </c>
      <c r="C359" s="45">
        <f>B359 / $G356</f>
        <v>120</v>
      </c>
      <c r="D359" s="45">
        <f>SUM($B356,$C356,$D356,$E356)</f>
        <v>0.05</v>
      </c>
      <c r="E359" s="45">
        <f>(B359 * D359) / $G356</f>
        <v>6</v>
      </c>
      <c r="F359" s="45">
        <f>C359 + E359</f>
        <v>126</v>
      </c>
      <c r="G359" s="45">
        <f>F359 * (1+$F356)</f>
        <v>157.5</v>
      </c>
      <c r="H359" s="127"/>
      <c r="I359" s="45">
        <f>G356 * I356</f>
        <v>312343.19999999995</v>
      </c>
      <c r="J359" s="45">
        <f>_xlfn.IFS(M356 = "Yes",G356 * (J356 + L356),M356 &lt;&gt; "Yes",G356 * (J356))</f>
        <v>236880</v>
      </c>
      <c r="K359" s="45">
        <f>I359 - J359</f>
        <v>75463.199999999953</v>
      </c>
      <c r="L359" s="46">
        <f>K359 / I359</f>
        <v>0.24160346695557952</v>
      </c>
      <c r="M359" s="45">
        <f>I359 / 12</f>
        <v>26028.599999999995</v>
      </c>
      <c r="N359" s="47">
        <f>K359 / 12</f>
        <v>6288.5999999999958</v>
      </c>
    </row>
    <row r="360" spans="2:14" ht="15.75" customHeight="1" x14ac:dyDescent="0.3">
      <c r="I360" s="63">
        <f>I359</f>
        <v>312343.19999999995</v>
      </c>
      <c r="J360" s="142">
        <f>G357*J356</f>
        <v>226800</v>
      </c>
      <c r="K360" s="143">
        <f>I360 - J360</f>
        <v>85543.199999999953</v>
      </c>
      <c r="L360" s="144">
        <f>K360 / I360</f>
        <v>0.27387565985108675</v>
      </c>
      <c r="M360" s="143">
        <f>I360 / 12</f>
        <v>26028.599999999995</v>
      </c>
      <c r="N360" s="145">
        <f>K360 / 12</f>
        <v>7128.5999999999958</v>
      </c>
    </row>
    <row r="361" spans="2:14" ht="15.75" customHeight="1" x14ac:dyDescent="0.3"/>
    <row r="362" spans="2:14" ht="15.75" customHeight="1" x14ac:dyDescent="0.4">
      <c r="B362" s="49" t="s">
        <v>130</v>
      </c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1"/>
    </row>
    <row r="363" spans="2:14" ht="15.75" customHeight="1" x14ac:dyDescent="0.3">
      <c r="B363" s="33" t="s">
        <v>1</v>
      </c>
      <c r="C363" s="34" t="s">
        <v>3</v>
      </c>
      <c r="D363" s="34" t="s">
        <v>2</v>
      </c>
      <c r="E363" s="34" t="s">
        <v>4</v>
      </c>
      <c r="F363" s="34" t="s">
        <v>6</v>
      </c>
      <c r="G363" s="34" t="s">
        <v>5</v>
      </c>
      <c r="H363" s="34"/>
      <c r="I363" s="34" t="s">
        <v>19</v>
      </c>
      <c r="J363" s="34" t="s">
        <v>20</v>
      </c>
      <c r="K363" s="34" t="s">
        <v>21</v>
      </c>
      <c r="L363" s="35" t="s">
        <v>22</v>
      </c>
      <c r="M363" s="34" t="s">
        <v>23</v>
      </c>
      <c r="N363" s="36" t="s">
        <v>24</v>
      </c>
    </row>
    <row r="364" spans="2:14" ht="15.75" customHeight="1" x14ac:dyDescent="0.3">
      <c r="B364" s="55">
        <v>0.13</v>
      </c>
      <c r="C364" s="53">
        <v>0.05</v>
      </c>
      <c r="D364" s="53">
        <v>0.12</v>
      </c>
      <c r="E364" s="53">
        <v>0.1</v>
      </c>
      <c r="F364" s="53">
        <v>0.25</v>
      </c>
      <c r="G364" s="54">
        <v>1880</v>
      </c>
      <c r="H364" s="37"/>
      <c r="I364" s="56">
        <v>185</v>
      </c>
      <c r="J364" s="29">
        <f>F367</f>
        <v>141.48936170212767</v>
      </c>
      <c r="K364" s="29">
        <f>I364 - J364</f>
        <v>43.510638297872333</v>
      </c>
      <c r="L364" s="29">
        <f>1000 / (G364 / 12)</f>
        <v>6.3829787234042561</v>
      </c>
      <c r="M364" s="54" t="s">
        <v>87</v>
      </c>
      <c r="N364" s="38">
        <f>_xlfn.IFS(M364 = "Yes",K364 - L364,M364 = "No",K364)</f>
        <v>37.127659574468076</v>
      </c>
    </row>
    <row r="365" spans="2:14" ht="15.75" customHeight="1" x14ac:dyDescent="0.3">
      <c r="B365" s="39"/>
      <c r="C365" s="40"/>
      <c r="D365" s="40"/>
      <c r="E365" s="40"/>
      <c r="F365" s="40"/>
      <c r="G365" s="40"/>
      <c r="H365" s="40"/>
      <c r="I365" s="65"/>
      <c r="J365" s="40"/>
      <c r="K365" s="40"/>
      <c r="L365" s="40"/>
      <c r="M365" s="40"/>
      <c r="N365" s="41"/>
    </row>
    <row r="366" spans="2:14" ht="15.75" customHeight="1" x14ac:dyDescent="0.3">
      <c r="B366" s="33" t="s">
        <v>84</v>
      </c>
      <c r="C366" s="34" t="s">
        <v>11</v>
      </c>
      <c r="D366" s="34" t="s">
        <v>12</v>
      </c>
      <c r="E366" s="34" t="s">
        <v>13</v>
      </c>
      <c r="F366" s="34" t="s">
        <v>14</v>
      </c>
      <c r="G366" s="34" t="s">
        <v>15</v>
      </c>
      <c r="H366" s="34"/>
      <c r="I366" s="34" t="s">
        <v>26</v>
      </c>
      <c r="J366" s="34" t="s">
        <v>27</v>
      </c>
      <c r="K366" s="34" t="s">
        <v>28</v>
      </c>
      <c r="L366" s="30" t="s">
        <v>29</v>
      </c>
      <c r="M366" s="34" t="s">
        <v>30</v>
      </c>
      <c r="N366" s="36" t="s">
        <v>31</v>
      </c>
    </row>
    <row r="367" spans="2:14" ht="15.75" customHeight="1" x14ac:dyDescent="0.3">
      <c r="B367" s="52">
        <v>190000</v>
      </c>
      <c r="C367" s="42">
        <f>B367 / $G364</f>
        <v>101.06382978723404</v>
      </c>
      <c r="D367" s="43">
        <f>SUM($B364,$C364,$D364,$E364)</f>
        <v>0.4</v>
      </c>
      <c r="E367" s="42">
        <f>(B367 * D367) / $G364</f>
        <v>40.425531914893618</v>
      </c>
      <c r="F367" s="42">
        <f>C367 + E367</f>
        <v>141.48936170212767</v>
      </c>
      <c r="G367" s="42">
        <f>F367 * (1+$F364)</f>
        <v>176.86170212765958</v>
      </c>
      <c r="H367" s="44"/>
      <c r="I367" s="45">
        <f>G364 * I364</f>
        <v>347800</v>
      </c>
      <c r="J367" s="45">
        <f>_xlfn.IFS(M364 = "Yes",G364 * (J364 + L364),M364 &lt;&gt; "Yes",G364 * (J364))</f>
        <v>278000</v>
      </c>
      <c r="K367" s="45">
        <f>I367 - J367</f>
        <v>69800</v>
      </c>
      <c r="L367" s="46">
        <f>K367 / I367</f>
        <v>0.20069005175388155</v>
      </c>
      <c r="M367" s="45">
        <f>I367 / 12</f>
        <v>28983.333333333332</v>
      </c>
      <c r="N367" s="47">
        <f>K367 / 12</f>
        <v>5816.666666666667</v>
      </c>
    </row>
    <row r="368" spans="2:14" ht="15.75" customHeight="1" x14ac:dyDescent="0.3"/>
    <row r="369" spans="2:14" ht="15.75" customHeight="1" x14ac:dyDescent="0.4">
      <c r="B369" s="49" t="s">
        <v>131</v>
      </c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1"/>
    </row>
    <row r="370" spans="2:14" ht="15.75" customHeight="1" x14ac:dyDescent="0.3">
      <c r="B370" s="33" t="s">
        <v>1</v>
      </c>
      <c r="C370" s="34" t="s">
        <v>3</v>
      </c>
      <c r="D370" s="34" t="s">
        <v>2</v>
      </c>
      <c r="E370" s="34" t="s">
        <v>4</v>
      </c>
      <c r="F370" s="34" t="s">
        <v>6</v>
      </c>
      <c r="G370" s="34" t="s">
        <v>5</v>
      </c>
      <c r="H370" s="34"/>
      <c r="I370" s="34" t="s">
        <v>19</v>
      </c>
      <c r="J370" s="34" t="s">
        <v>20</v>
      </c>
      <c r="K370" s="34" t="s">
        <v>21</v>
      </c>
      <c r="L370" s="35" t="s">
        <v>22</v>
      </c>
      <c r="M370" s="34" t="s">
        <v>23</v>
      </c>
      <c r="N370" s="36" t="s">
        <v>24</v>
      </c>
    </row>
    <row r="371" spans="2:14" ht="15.75" customHeight="1" x14ac:dyDescent="0.3">
      <c r="B371" s="55">
        <v>0.13</v>
      </c>
      <c r="C371" s="53">
        <v>0.1</v>
      </c>
      <c r="D371" s="53">
        <v>0.12</v>
      </c>
      <c r="E371" s="53">
        <v>0.1</v>
      </c>
      <c r="F371" s="53">
        <v>0.25</v>
      </c>
      <c r="G371" s="54">
        <v>1880</v>
      </c>
      <c r="H371" s="37"/>
      <c r="I371" s="56">
        <v>98.53</v>
      </c>
      <c r="J371" s="29">
        <f>F374</f>
        <v>74.277792553191489</v>
      </c>
      <c r="K371" s="29">
        <f>I371 - J371</f>
        <v>24.252207446808512</v>
      </c>
      <c r="L371" s="29">
        <f>1000 / (G371 / 12)</f>
        <v>6.3829787234042561</v>
      </c>
      <c r="M371" s="54" t="s">
        <v>32</v>
      </c>
      <c r="N371" s="38">
        <f>_xlfn.IFS(M371 = "Yes",K371 - L371,M371 = "No",K371)</f>
        <v>24.252207446808512</v>
      </c>
    </row>
    <row r="372" spans="2:14" ht="15.75" customHeight="1" x14ac:dyDescent="0.3">
      <c r="B372" s="39"/>
      <c r="C372" s="40"/>
      <c r="D372" s="40"/>
      <c r="E372" s="40"/>
      <c r="F372" s="40"/>
      <c r="G372" s="40"/>
      <c r="H372" s="40"/>
      <c r="I372" s="65"/>
      <c r="J372" s="40"/>
      <c r="K372" s="40"/>
      <c r="L372" s="40"/>
      <c r="M372" s="40"/>
      <c r="N372" s="41"/>
    </row>
    <row r="373" spans="2:14" ht="15.75" customHeight="1" x14ac:dyDescent="0.3">
      <c r="B373" s="33" t="s">
        <v>84</v>
      </c>
      <c r="C373" s="34" t="s">
        <v>11</v>
      </c>
      <c r="D373" s="34" t="s">
        <v>12</v>
      </c>
      <c r="E373" s="34" t="s">
        <v>13</v>
      </c>
      <c r="F373" s="34" t="s">
        <v>14</v>
      </c>
      <c r="G373" s="34" t="s">
        <v>15</v>
      </c>
      <c r="H373" s="34"/>
      <c r="I373" s="34" t="s">
        <v>26</v>
      </c>
      <c r="J373" s="34" t="s">
        <v>27</v>
      </c>
      <c r="K373" s="34" t="s">
        <v>28</v>
      </c>
      <c r="L373" s="30" t="s">
        <v>29</v>
      </c>
      <c r="M373" s="34" t="s">
        <v>30</v>
      </c>
      <c r="N373" s="36" t="s">
        <v>31</v>
      </c>
    </row>
    <row r="374" spans="2:14" ht="15.75" customHeight="1" x14ac:dyDescent="0.3">
      <c r="B374" s="52">
        <v>96305</v>
      </c>
      <c r="C374" s="42">
        <f>B374 / $G371</f>
        <v>51.226063829787236</v>
      </c>
      <c r="D374" s="43">
        <f>SUM($B371,$C371,$D371,$E371)</f>
        <v>0.44999999999999996</v>
      </c>
      <c r="E374" s="42">
        <f>(B374 * D374) / $G371</f>
        <v>23.051728723404253</v>
      </c>
      <c r="F374" s="42">
        <f>C374 + E374</f>
        <v>74.277792553191489</v>
      </c>
      <c r="G374" s="42">
        <f>F374 * (1+$F371)</f>
        <v>92.847240691489361</v>
      </c>
      <c r="H374" s="44"/>
      <c r="I374" s="45">
        <f>G371 * I371</f>
        <v>185236.4</v>
      </c>
      <c r="J374" s="45">
        <f>_xlfn.IFS(M371 = "Yes",G371 * (J371 + L371),M371 &lt;&gt; "Yes",G371 * (J371))</f>
        <v>139642.25</v>
      </c>
      <c r="K374" s="45">
        <f>I374 - J374</f>
        <v>45594.149999999994</v>
      </c>
      <c r="L374" s="46">
        <f>K374 / I374</f>
        <v>0.24614033742828081</v>
      </c>
      <c r="M374" s="45">
        <f>I374 / 12</f>
        <v>15436.366666666667</v>
      </c>
      <c r="N374" s="47">
        <f>K374 / 12</f>
        <v>3799.5124999999994</v>
      </c>
    </row>
    <row r="375" spans="2:14" ht="15.75" customHeight="1" x14ac:dyDescent="0.3">
      <c r="B375" s="256"/>
    </row>
    <row r="376" spans="2:14" ht="15.75" customHeight="1" x14ac:dyDescent="0.4">
      <c r="B376" s="49" t="s">
        <v>132</v>
      </c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1"/>
    </row>
    <row r="377" spans="2:14" ht="15.75" customHeight="1" x14ac:dyDescent="0.3">
      <c r="B377" s="33" t="s">
        <v>1</v>
      </c>
      <c r="C377" s="34" t="s">
        <v>3</v>
      </c>
      <c r="D377" s="34" t="s">
        <v>2</v>
      </c>
      <c r="E377" s="34" t="s">
        <v>4</v>
      </c>
      <c r="F377" s="34" t="s">
        <v>6</v>
      </c>
      <c r="G377" s="34" t="s">
        <v>5</v>
      </c>
      <c r="H377" s="34"/>
      <c r="I377" s="34" t="s">
        <v>19</v>
      </c>
      <c r="J377" s="34" t="s">
        <v>20</v>
      </c>
      <c r="K377" s="34" t="s">
        <v>21</v>
      </c>
      <c r="L377" s="35" t="s">
        <v>22</v>
      </c>
      <c r="M377" s="34" t="s">
        <v>23</v>
      </c>
      <c r="N377" s="36" t="s">
        <v>24</v>
      </c>
    </row>
    <row r="378" spans="2:14" ht="15.75" customHeight="1" x14ac:dyDescent="0.3">
      <c r="B378" s="55">
        <v>0.13</v>
      </c>
      <c r="C378" s="53">
        <v>0.1</v>
      </c>
      <c r="D378" s="53">
        <v>0.12</v>
      </c>
      <c r="E378" s="53">
        <v>0.1</v>
      </c>
      <c r="F378" s="53">
        <v>0.25</v>
      </c>
      <c r="G378" s="54">
        <v>1880</v>
      </c>
      <c r="H378" s="37"/>
      <c r="I378" s="56">
        <v>100</v>
      </c>
      <c r="J378" s="29">
        <f>F381</f>
        <v>61.702127659574472</v>
      </c>
      <c r="K378" s="29">
        <f>I378 - J378</f>
        <v>38.297872340425528</v>
      </c>
      <c r="L378" s="29">
        <f>1000 / (G378 / 12)</f>
        <v>6.3829787234042561</v>
      </c>
      <c r="M378" s="54" t="s">
        <v>87</v>
      </c>
      <c r="N378" s="38">
        <f>_xlfn.IFS(M378 = "Yes",K378 - L378,M378 = "No",K378)</f>
        <v>31.914893617021271</v>
      </c>
    </row>
    <row r="379" spans="2:14" ht="15.75" customHeight="1" x14ac:dyDescent="0.3">
      <c r="B379" s="39"/>
      <c r="C379" s="40"/>
      <c r="D379" s="40"/>
      <c r="E379" s="40"/>
      <c r="F379" s="40"/>
      <c r="G379" s="40"/>
      <c r="H379" s="40"/>
      <c r="I379" s="65"/>
      <c r="J379" s="40"/>
      <c r="K379" s="40"/>
      <c r="L379" s="40"/>
      <c r="M379" s="40"/>
      <c r="N379" s="41"/>
    </row>
    <row r="380" spans="2:14" ht="15.75" customHeight="1" x14ac:dyDescent="0.3">
      <c r="B380" s="33" t="s">
        <v>84</v>
      </c>
      <c r="C380" s="34" t="s">
        <v>11</v>
      </c>
      <c r="D380" s="34" t="s">
        <v>12</v>
      </c>
      <c r="E380" s="34" t="s">
        <v>13</v>
      </c>
      <c r="F380" s="34" t="s">
        <v>14</v>
      </c>
      <c r="G380" s="34" t="s">
        <v>15</v>
      </c>
      <c r="H380" s="34"/>
      <c r="I380" s="34" t="s">
        <v>26</v>
      </c>
      <c r="J380" s="34" t="s">
        <v>27</v>
      </c>
      <c r="K380" s="34" t="s">
        <v>28</v>
      </c>
      <c r="L380" s="30" t="s">
        <v>29</v>
      </c>
      <c r="M380" s="34" t="s">
        <v>30</v>
      </c>
      <c r="N380" s="36" t="s">
        <v>31</v>
      </c>
    </row>
    <row r="381" spans="2:14" ht="15.75" customHeight="1" x14ac:dyDescent="0.3">
      <c r="B381" s="52">
        <v>80000</v>
      </c>
      <c r="C381" s="42">
        <f>B381 / $G378</f>
        <v>42.553191489361701</v>
      </c>
      <c r="D381" s="43">
        <f>SUM($B378,$C378,$D378,$E378)</f>
        <v>0.44999999999999996</v>
      </c>
      <c r="E381" s="42">
        <f>(B381 * D381) / $G378</f>
        <v>19.148936170212767</v>
      </c>
      <c r="F381" s="42">
        <f>C381 + E381</f>
        <v>61.702127659574472</v>
      </c>
      <c r="G381" s="42">
        <f>F381 * (1+$F378)</f>
        <v>77.127659574468083</v>
      </c>
      <c r="H381" s="44"/>
      <c r="I381" s="45">
        <f>G378 * I378</f>
        <v>188000</v>
      </c>
      <c r="J381" s="45">
        <f>_xlfn.IFS(M378 = "Yes",G378 * (J378 + L378),M378 &lt;&gt; "Yes",G378 * (J378))</f>
        <v>128000</v>
      </c>
      <c r="K381" s="45">
        <f>I381 - J381</f>
        <v>60000</v>
      </c>
      <c r="L381" s="46">
        <f>K381 / I381</f>
        <v>0.31914893617021278</v>
      </c>
      <c r="M381" s="45">
        <f>I381 / 12</f>
        <v>15666.666666666666</v>
      </c>
      <c r="N381" s="47">
        <f>K381 / 12</f>
        <v>5000</v>
      </c>
    </row>
    <row r="382" spans="2:14" ht="15.75" customHeight="1" x14ac:dyDescent="0.3"/>
    <row r="383" spans="2:14" ht="15.75" customHeight="1" x14ac:dyDescent="0.4">
      <c r="B383" s="49" t="s">
        <v>133</v>
      </c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1"/>
    </row>
    <row r="384" spans="2:14" ht="15.75" customHeight="1" x14ac:dyDescent="0.3">
      <c r="B384" s="33" t="s">
        <v>1</v>
      </c>
      <c r="C384" s="34" t="s">
        <v>3</v>
      </c>
      <c r="D384" s="34" t="s">
        <v>2</v>
      </c>
      <c r="E384" s="34" t="s">
        <v>4</v>
      </c>
      <c r="F384" s="34" t="s">
        <v>6</v>
      </c>
      <c r="G384" s="34" t="s">
        <v>5</v>
      </c>
      <c r="H384" s="34"/>
      <c r="I384" s="34" t="s">
        <v>19</v>
      </c>
      <c r="J384" s="34" t="s">
        <v>20</v>
      </c>
      <c r="K384" s="34" t="s">
        <v>21</v>
      </c>
      <c r="L384" s="35" t="s">
        <v>22</v>
      </c>
      <c r="M384" s="34" t="s">
        <v>23</v>
      </c>
      <c r="N384" s="36" t="s">
        <v>24</v>
      </c>
    </row>
    <row r="385" spans="2:14" ht="15.75" customHeight="1" x14ac:dyDescent="0.3">
      <c r="B385" s="55">
        <v>0.13</v>
      </c>
      <c r="C385" s="53">
        <v>0.1</v>
      </c>
      <c r="D385" s="53">
        <v>0.12</v>
      </c>
      <c r="E385" s="53">
        <v>0.1</v>
      </c>
      <c r="F385" s="53">
        <v>0.25</v>
      </c>
      <c r="G385" s="54">
        <v>1880</v>
      </c>
      <c r="H385" s="37"/>
      <c r="I385" s="56">
        <v>110</v>
      </c>
      <c r="J385" s="29">
        <f>F388</f>
        <v>73.271276595744681</v>
      </c>
      <c r="K385" s="29">
        <f>I385 - J385</f>
        <v>36.728723404255319</v>
      </c>
      <c r="L385" s="29">
        <f>1000 / (G385 / 12)</f>
        <v>6.3829787234042561</v>
      </c>
      <c r="M385" s="54" t="s">
        <v>87</v>
      </c>
      <c r="N385" s="38">
        <f>_xlfn.IFS(M385 = "Yes",K385 - L385,M385 = "No",K385)</f>
        <v>30.345744680851062</v>
      </c>
    </row>
    <row r="386" spans="2:14" ht="15.75" customHeight="1" x14ac:dyDescent="0.3">
      <c r="B386" s="39"/>
      <c r="C386" s="40"/>
      <c r="D386" s="40"/>
      <c r="E386" s="40"/>
      <c r="F386" s="40"/>
      <c r="G386" s="40"/>
      <c r="H386" s="40"/>
      <c r="I386" s="65"/>
      <c r="J386" s="40"/>
      <c r="K386" s="40"/>
      <c r="L386" s="40"/>
      <c r="M386" s="40"/>
      <c r="N386" s="41"/>
    </row>
    <row r="387" spans="2:14" ht="15.75" customHeight="1" x14ac:dyDescent="0.3">
      <c r="B387" s="33" t="s">
        <v>84</v>
      </c>
      <c r="C387" s="34" t="s">
        <v>11</v>
      </c>
      <c r="D387" s="34" t="s">
        <v>12</v>
      </c>
      <c r="E387" s="34" t="s">
        <v>13</v>
      </c>
      <c r="F387" s="34" t="s">
        <v>14</v>
      </c>
      <c r="G387" s="34" t="s">
        <v>15</v>
      </c>
      <c r="H387" s="34"/>
      <c r="I387" s="34" t="s">
        <v>26</v>
      </c>
      <c r="J387" s="34" t="s">
        <v>27</v>
      </c>
      <c r="K387" s="34" t="s">
        <v>28</v>
      </c>
      <c r="L387" s="30" t="s">
        <v>29</v>
      </c>
      <c r="M387" s="34" t="s">
        <v>30</v>
      </c>
      <c r="N387" s="36" t="s">
        <v>31</v>
      </c>
    </row>
    <row r="388" spans="2:14" ht="15.75" customHeight="1" x14ac:dyDescent="0.3">
      <c r="B388" s="52">
        <v>95000</v>
      </c>
      <c r="C388" s="42">
        <f>B388 / $G385</f>
        <v>50.531914893617021</v>
      </c>
      <c r="D388" s="43">
        <f>SUM($B385,$C385,$D385,$E385)</f>
        <v>0.44999999999999996</v>
      </c>
      <c r="E388" s="42">
        <f>(B388 * D388) / $G385</f>
        <v>22.739361702127656</v>
      </c>
      <c r="F388" s="42">
        <f>C388 + E388</f>
        <v>73.271276595744681</v>
      </c>
      <c r="G388" s="42">
        <f>F388 * (1+$F385)</f>
        <v>91.589095744680847</v>
      </c>
      <c r="H388" s="44"/>
      <c r="I388" s="45">
        <f>G385 * I385</f>
        <v>206800</v>
      </c>
      <c r="J388" s="45">
        <f>_xlfn.IFS(M385 = "Yes",G385 * (J385 + L385),M385 &lt;&gt; "Yes",G385 * (J385))</f>
        <v>149750</v>
      </c>
      <c r="K388" s="45">
        <f>I388 - J388</f>
        <v>57050</v>
      </c>
      <c r="L388" s="46">
        <f>K388 / I388</f>
        <v>0.27587040618955511</v>
      </c>
      <c r="M388" s="45">
        <f>I388 / 12</f>
        <v>17233.333333333332</v>
      </c>
      <c r="N388" s="47">
        <f>K388 / 12</f>
        <v>4754.166666666667</v>
      </c>
    </row>
    <row r="389" spans="2:14" ht="15.75" customHeight="1" x14ac:dyDescent="0.3"/>
    <row r="390" spans="2:14" ht="15.75" customHeight="1" x14ac:dyDescent="0.4">
      <c r="B390" s="49" t="s">
        <v>134</v>
      </c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1"/>
    </row>
    <row r="391" spans="2:14" ht="15.75" customHeight="1" x14ac:dyDescent="0.3">
      <c r="B391" s="33" t="s">
        <v>1</v>
      </c>
      <c r="C391" s="34" t="s">
        <v>3</v>
      </c>
      <c r="D391" s="34" t="s">
        <v>2</v>
      </c>
      <c r="E391" s="34" t="s">
        <v>4</v>
      </c>
      <c r="F391" s="34" t="s">
        <v>6</v>
      </c>
      <c r="G391" s="34" t="s">
        <v>5</v>
      </c>
      <c r="H391" s="34"/>
      <c r="I391" s="34" t="s">
        <v>19</v>
      </c>
      <c r="J391" s="34" t="s">
        <v>20</v>
      </c>
      <c r="K391" s="34" t="s">
        <v>21</v>
      </c>
      <c r="L391" s="35" t="s">
        <v>22</v>
      </c>
      <c r="M391" s="34" t="s">
        <v>23</v>
      </c>
      <c r="N391" s="36" t="s">
        <v>24</v>
      </c>
    </row>
    <row r="392" spans="2:14" ht="15.75" customHeight="1" x14ac:dyDescent="0.3">
      <c r="B392" s="55">
        <v>0.13</v>
      </c>
      <c r="C392" s="53">
        <v>0.1</v>
      </c>
      <c r="D392" s="53">
        <v>0.12</v>
      </c>
      <c r="E392" s="53">
        <v>0.1</v>
      </c>
      <c r="F392" s="53">
        <v>0.25</v>
      </c>
      <c r="G392" s="54">
        <v>1880</v>
      </c>
      <c r="H392" s="37"/>
      <c r="I392" s="56">
        <v>120</v>
      </c>
      <c r="J392" s="29">
        <f>F395</f>
        <v>84.840425531914889</v>
      </c>
      <c r="K392" s="29">
        <f>I392 - J392</f>
        <v>35.159574468085111</v>
      </c>
      <c r="L392" s="29">
        <f>1000 / (G392 / 12)</f>
        <v>6.3829787234042561</v>
      </c>
      <c r="M392" s="54" t="s">
        <v>87</v>
      </c>
      <c r="N392" s="38">
        <f>_xlfn.IFS(M392 = "Yes",K392 - L392,M392 = "No",K392)</f>
        <v>28.776595744680854</v>
      </c>
    </row>
    <row r="393" spans="2:14" ht="15.75" customHeight="1" x14ac:dyDescent="0.3">
      <c r="B393" s="39"/>
      <c r="C393" s="40"/>
      <c r="D393" s="40"/>
      <c r="E393" s="40"/>
      <c r="F393" s="40"/>
      <c r="G393" s="40"/>
      <c r="H393" s="40"/>
      <c r="I393" s="65"/>
      <c r="J393" s="40"/>
      <c r="K393" s="40"/>
      <c r="L393" s="40"/>
      <c r="M393" s="40"/>
      <c r="N393" s="41"/>
    </row>
    <row r="394" spans="2:14" ht="15.75" customHeight="1" x14ac:dyDescent="0.3">
      <c r="B394" s="33" t="s">
        <v>84</v>
      </c>
      <c r="C394" s="34" t="s">
        <v>11</v>
      </c>
      <c r="D394" s="34" t="s">
        <v>12</v>
      </c>
      <c r="E394" s="34" t="s">
        <v>13</v>
      </c>
      <c r="F394" s="34" t="s">
        <v>14</v>
      </c>
      <c r="G394" s="34" t="s">
        <v>15</v>
      </c>
      <c r="H394" s="34"/>
      <c r="I394" s="34" t="s">
        <v>26</v>
      </c>
      <c r="J394" s="34" t="s">
        <v>27</v>
      </c>
      <c r="K394" s="34" t="s">
        <v>28</v>
      </c>
      <c r="L394" s="30" t="s">
        <v>29</v>
      </c>
      <c r="M394" s="34" t="s">
        <v>30</v>
      </c>
      <c r="N394" s="36" t="s">
        <v>31</v>
      </c>
    </row>
    <row r="395" spans="2:14" ht="15.75" customHeight="1" x14ac:dyDescent="0.3">
      <c r="B395" s="52">
        <v>110000</v>
      </c>
      <c r="C395" s="42">
        <f>B395 / $G392</f>
        <v>58.51063829787234</v>
      </c>
      <c r="D395" s="43">
        <f>SUM($B392,$C392,$D392,$E392)</f>
        <v>0.44999999999999996</v>
      </c>
      <c r="E395" s="42">
        <f>(B395 * D395) / $G392</f>
        <v>26.329787234042549</v>
      </c>
      <c r="F395" s="42">
        <f>C395 + E395</f>
        <v>84.840425531914889</v>
      </c>
      <c r="G395" s="42">
        <f>F395 * (1+$F392)</f>
        <v>106.05053191489361</v>
      </c>
      <c r="H395" s="44"/>
      <c r="I395" s="45">
        <f>G392 * I392</f>
        <v>225600</v>
      </c>
      <c r="J395" s="45">
        <f>_xlfn.IFS(M392 = "Yes",G392 * (J392 + L392),M392 &lt;&gt; "Yes",G392 * (J392))</f>
        <v>171499.99999999997</v>
      </c>
      <c r="K395" s="45">
        <f>I395 - J395</f>
        <v>54100.000000000029</v>
      </c>
      <c r="L395" s="46">
        <f>K395 / I395</f>
        <v>0.23980496453900721</v>
      </c>
      <c r="M395" s="45">
        <f>I395 / 12</f>
        <v>18800</v>
      </c>
      <c r="N395" s="47">
        <f>K395 / 12</f>
        <v>4508.3333333333358</v>
      </c>
    </row>
    <row r="396" spans="2:14" ht="15.75" customHeight="1" x14ac:dyDescent="0.3"/>
    <row r="397" spans="2:14" ht="15.75" customHeight="1" x14ac:dyDescent="0.4">
      <c r="B397" s="49" t="s">
        <v>134</v>
      </c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1"/>
    </row>
    <row r="398" spans="2:14" ht="15.75" customHeight="1" x14ac:dyDescent="0.3">
      <c r="B398" s="33" t="s">
        <v>1</v>
      </c>
      <c r="C398" s="34" t="s">
        <v>3</v>
      </c>
      <c r="D398" s="34" t="s">
        <v>2</v>
      </c>
      <c r="E398" s="34" t="s">
        <v>4</v>
      </c>
      <c r="F398" s="34" t="s">
        <v>6</v>
      </c>
      <c r="G398" s="34" t="s">
        <v>5</v>
      </c>
      <c r="H398" s="34"/>
      <c r="I398" s="34" t="s">
        <v>19</v>
      </c>
      <c r="J398" s="34" t="s">
        <v>20</v>
      </c>
      <c r="K398" s="34" t="s">
        <v>21</v>
      </c>
      <c r="L398" s="35" t="s">
        <v>22</v>
      </c>
      <c r="M398" s="34" t="s">
        <v>23</v>
      </c>
      <c r="N398" s="36" t="s">
        <v>24</v>
      </c>
    </row>
    <row r="399" spans="2:14" ht="15.75" customHeight="1" x14ac:dyDescent="0.3">
      <c r="B399" s="55">
        <v>0.13</v>
      </c>
      <c r="C399" s="53">
        <v>0.1</v>
      </c>
      <c r="D399" s="53">
        <v>0.12</v>
      </c>
      <c r="E399" s="53">
        <v>0.1</v>
      </c>
      <c r="F399" s="53">
        <v>0.25</v>
      </c>
      <c r="G399" s="54">
        <v>1880</v>
      </c>
      <c r="H399" s="37"/>
      <c r="I399" s="56">
        <v>130</v>
      </c>
      <c r="J399" s="29">
        <f>F402</f>
        <v>96.409574468085097</v>
      </c>
      <c r="K399" s="29">
        <f>I399 - J399</f>
        <v>33.590425531914903</v>
      </c>
      <c r="L399" s="29">
        <f>1000 / (G399 / 12)</f>
        <v>6.3829787234042561</v>
      </c>
      <c r="M399" s="54" t="s">
        <v>87</v>
      </c>
      <c r="N399" s="38">
        <f>_xlfn.IFS(M399 = "Yes",K399 - L399,M399 = "No",K399)</f>
        <v>27.207446808510646</v>
      </c>
    </row>
    <row r="400" spans="2:14" ht="15.75" customHeight="1" x14ac:dyDescent="0.3">
      <c r="B400" s="39"/>
      <c r="C400" s="40"/>
      <c r="D400" s="40"/>
      <c r="E400" s="40"/>
      <c r="F400" s="40"/>
      <c r="G400" s="40"/>
      <c r="H400" s="40"/>
      <c r="I400" s="65"/>
      <c r="J400" s="40"/>
      <c r="K400" s="40"/>
      <c r="L400" s="40"/>
      <c r="M400" s="40"/>
      <c r="N400" s="41"/>
    </row>
    <row r="401" spans="2:14" ht="43.2" x14ac:dyDescent="0.3">
      <c r="B401" s="33" t="s">
        <v>84</v>
      </c>
      <c r="C401" s="34" t="s">
        <v>11</v>
      </c>
      <c r="D401" s="34" t="s">
        <v>12</v>
      </c>
      <c r="E401" s="34" t="s">
        <v>13</v>
      </c>
      <c r="F401" s="34" t="s">
        <v>14</v>
      </c>
      <c r="G401" s="34" t="s">
        <v>15</v>
      </c>
      <c r="H401" s="34"/>
      <c r="I401" s="34" t="s">
        <v>26</v>
      </c>
      <c r="J401" s="34" t="s">
        <v>27</v>
      </c>
      <c r="K401" s="34" t="s">
        <v>28</v>
      </c>
      <c r="L401" s="30" t="s">
        <v>29</v>
      </c>
      <c r="M401" s="34" t="s">
        <v>30</v>
      </c>
      <c r="N401" s="36" t="s">
        <v>31</v>
      </c>
    </row>
    <row r="402" spans="2:14" ht="14.4" x14ac:dyDescent="0.3">
      <c r="B402" s="52">
        <v>125000</v>
      </c>
      <c r="C402" s="42">
        <f>B402 / $G399</f>
        <v>66.489361702127653</v>
      </c>
      <c r="D402" s="43">
        <f>SUM($B399,$C399,$D399,$E399)</f>
        <v>0.44999999999999996</v>
      </c>
      <c r="E402" s="42">
        <f>(B402 * D402) / $G399</f>
        <v>29.920212765957444</v>
      </c>
      <c r="F402" s="42">
        <f>C402 + E402</f>
        <v>96.409574468085097</v>
      </c>
      <c r="G402" s="42">
        <f>F402 * (1+$F399)</f>
        <v>120.51196808510637</v>
      </c>
      <c r="H402" s="44"/>
      <c r="I402" s="45">
        <f>G399 * I399</f>
        <v>244400</v>
      </c>
      <c r="J402" s="45">
        <f>_xlfn.IFS(M399 = "Yes",G399 * (J399 + L399),M399 &lt;&gt; "Yes",G399 * (J399))</f>
        <v>193249.99999999997</v>
      </c>
      <c r="K402" s="45">
        <f>I402 - J402</f>
        <v>51150.000000000029</v>
      </c>
      <c r="L402" s="46">
        <f>K402 / I402</f>
        <v>0.20928805237315887</v>
      </c>
      <c r="M402" s="45">
        <f>I402 / 12</f>
        <v>20366.666666666668</v>
      </c>
      <c r="N402" s="47">
        <f>K402 / 12</f>
        <v>4262.5000000000027</v>
      </c>
    </row>
    <row r="403" spans="2:14" ht="15.75" customHeight="1" x14ac:dyDescent="0.3"/>
    <row r="404" spans="2:14" ht="15.75" customHeight="1" x14ac:dyDescent="0.4">
      <c r="B404" s="49" t="s">
        <v>135</v>
      </c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1"/>
    </row>
    <row r="405" spans="2:14" ht="15.75" customHeight="1" x14ac:dyDescent="0.3">
      <c r="B405" s="33" t="s">
        <v>1</v>
      </c>
      <c r="C405" s="34" t="s">
        <v>3</v>
      </c>
      <c r="D405" s="34" t="s">
        <v>2</v>
      </c>
      <c r="E405" s="34" t="s">
        <v>4</v>
      </c>
      <c r="F405" s="34" t="s">
        <v>6</v>
      </c>
      <c r="G405" s="34" t="s">
        <v>5</v>
      </c>
      <c r="H405" s="34"/>
      <c r="I405" s="34" t="s">
        <v>19</v>
      </c>
      <c r="J405" s="34" t="s">
        <v>20</v>
      </c>
      <c r="K405" s="34" t="s">
        <v>21</v>
      </c>
      <c r="L405" s="35" t="s">
        <v>22</v>
      </c>
      <c r="M405" s="34" t="s">
        <v>23</v>
      </c>
      <c r="N405" s="36" t="s">
        <v>24</v>
      </c>
    </row>
    <row r="406" spans="2:14" ht="15.75" customHeight="1" x14ac:dyDescent="0.3">
      <c r="B406" s="55">
        <v>0.13</v>
      </c>
      <c r="C406" s="53">
        <v>0.1</v>
      </c>
      <c r="D406" s="53">
        <v>0.12</v>
      </c>
      <c r="E406" s="53">
        <v>0.1</v>
      </c>
      <c r="F406" s="53">
        <v>0.25</v>
      </c>
      <c r="G406" s="54">
        <v>1880</v>
      </c>
      <c r="H406" s="37"/>
      <c r="I406" s="56">
        <v>110</v>
      </c>
      <c r="J406" s="29">
        <f>F409</f>
        <v>69.414893617021278</v>
      </c>
      <c r="K406" s="29">
        <f>I406 - J406</f>
        <v>40.585106382978722</v>
      </c>
      <c r="L406" s="29">
        <f>1000 / (G406 / 12)</f>
        <v>6.3829787234042561</v>
      </c>
      <c r="M406" s="54" t="s">
        <v>87</v>
      </c>
      <c r="N406" s="38">
        <f>_xlfn.IFS(M406 = "Yes",K406 - L406,M406 = "No",K406)</f>
        <v>34.202127659574465</v>
      </c>
    </row>
    <row r="407" spans="2:14" ht="15.75" customHeight="1" x14ac:dyDescent="0.3">
      <c r="B407" s="39"/>
      <c r="C407" s="40"/>
      <c r="D407" s="40"/>
      <c r="E407" s="40"/>
      <c r="F407" s="40"/>
      <c r="G407" s="40"/>
      <c r="H407" s="40"/>
      <c r="I407" s="65"/>
      <c r="J407" s="40"/>
      <c r="K407" s="40"/>
      <c r="L407" s="40"/>
      <c r="M407" s="40"/>
      <c r="N407" s="41"/>
    </row>
    <row r="408" spans="2:14" ht="15.75" customHeight="1" x14ac:dyDescent="0.3">
      <c r="B408" s="33" t="s">
        <v>84</v>
      </c>
      <c r="C408" s="34" t="s">
        <v>11</v>
      </c>
      <c r="D408" s="34" t="s">
        <v>12</v>
      </c>
      <c r="E408" s="34" t="s">
        <v>13</v>
      </c>
      <c r="F408" s="34" t="s">
        <v>14</v>
      </c>
      <c r="G408" s="34" t="s">
        <v>15</v>
      </c>
      <c r="H408" s="34"/>
      <c r="I408" s="34" t="s">
        <v>26</v>
      </c>
      <c r="J408" s="34" t="s">
        <v>27</v>
      </c>
      <c r="K408" s="34" t="s">
        <v>28</v>
      </c>
      <c r="L408" s="30" t="s">
        <v>29</v>
      </c>
      <c r="M408" s="34" t="s">
        <v>30</v>
      </c>
      <c r="N408" s="36" t="s">
        <v>31</v>
      </c>
    </row>
    <row r="409" spans="2:14" ht="15.75" customHeight="1" x14ac:dyDescent="0.3">
      <c r="B409" s="52">
        <v>90000</v>
      </c>
      <c r="C409" s="42">
        <f>B409 / $G406</f>
        <v>47.872340425531917</v>
      </c>
      <c r="D409" s="43">
        <f>SUM($B406,$C406,$D406,$E406)</f>
        <v>0.44999999999999996</v>
      </c>
      <c r="E409" s="42">
        <f>(B409 * D409) / $G406</f>
        <v>21.542553191489358</v>
      </c>
      <c r="F409" s="42">
        <f>C409 + E409</f>
        <v>69.414893617021278</v>
      </c>
      <c r="G409" s="42">
        <f>F409 * (1+$F406)</f>
        <v>86.768617021276597</v>
      </c>
      <c r="H409" s="44"/>
      <c r="I409" s="45">
        <f>G406 * I406</f>
        <v>206800</v>
      </c>
      <c r="J409" s="45">
        <f>_xlfn.IFS(M406 = "Yes",G406 * (J406 + L406),M406 &lt;&gt; "Yes",G406 * (J406))</f>
        <v>142500</v>
      </c>
      <c r="K409" s="45">
        <f>I409 - J409</f>
        <v>64300</v>
      </c>
      <c r="L409" s="46">
        <f>K409 / I409</f>
        <v>0.31092843326885883</v>
      </c>
      <c r="M409" s="45">
        <f>I409 / 12</f>
        <v>17233.333333333332</v>
      </c>
      <c r="N409" s="47">
        <f>K409 / 12</f>
        <v>5358.333333333333</v>
      </c>
    </row>
    <row r="410" spans="2:14" ht="15.75" customHeight="1" x14ac:dyDescent="0.3"/>
    <row r="411" spans="2:14" ht="15.75" customHeight="1" x14ac:dyDescent="0.4">
      <c r="B411" s="49" t="s">
        <v>136</v>
      </c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1"/>
    </row>
    <row r="412" spans="2:14" ht="15.75" customHeight="1" x14ac:dyDescent="0.3">
      <c r="B412" s="33" t="s">
        <v>1</v>
      </c>
      <c r="C412" s="34" t="s">
        <v>3</v>
      </c>
      <c r="D412" s="34" t="s">
        <v>2</v>
      </c>
      <c r="E412" s="34" t="s">
        <v>4</v>
      </c>
      <c r="F412" s="34" t="s">
        <v>6</v>
      </c>
      <c r="G412" s="34" t="s">
        <v>5</v>
      </c>
      <c r="H412" s="34"/>
      <c r="I412" s="34" t="s">
        <v>19</v>
      </c>
      <c r="J412" s="34" t="s">
        <v>20</v>
      </c>
      <c r="K412" s="34" t="s">
        <v>21</v>
      </c>
      <c r="L412" s="35" t="s">
        <v>22</v>
      </c>
      <c r="M412" s="34" t="s">
        <v>23</v>
      </c>
      <c r="N412" s="36" t="s">
        <v>24</v>
      </c>
    </row>
    <row r="413" spans="2:14" ht="15.75" customHeight="1" x14ac:dyDescent="0.3">
      <c r="B413" s="55">
        <v>0</v>
      </c>
      <c r="C413" s="53">
        <v>0</v>
      </c>
      <c r="D413" s="53">
        <v>0</v>
      </c>
      <c r="E413" s="53">
        <v>0.05</v>
      </c>
      <c r="F413" s="53">
        <v>0.25</v>
      </c>
      <c r="G413" s="140">
        <v>1880</v>
      </c>
      <c r="H413" s="121"/>
      <c r="I413" s="117">
        <v>110</v>
      </c>
      <c r="J413" s="118">
        <f>F416</f>
        <v>84</v>
      </c>
      <c r="K413" s="118">
        <f>I413 - J413</f>
        <v>26</v>
      </c>
      <c r="L413" s="118">
        <f>1000 / (G413 / 12)</f>
        <v>6.3829787234042561</v>
      </c>
      <c r="M413" s="115" t="s">
        <v>32</v>
      </c>
      <c r="N413" s="119">
        <f>_xlfn.IFS(M413 = "Yes",K413 - L413,M413 = "No",K413)</f>
        <v>26</v>
      </c>
    </row>
    <row r="414" spans="2:14" ht="15.75" customHeight="1" x14ac:dyDescent="0.3">
      <c r="B414" s="120"/>
      <c r="C414" s="121"/>
      <c r="D414" s="121"/>
      <c r="E414" s="121"/>
      <c r="F414" s="121"/>
      <c r="G414" s="121">
        <v>1800</v>
      </c>
      <c r="H414" s="63"/>
      <c r="I414" s="121"/>
      <c r="J414" s="121"/>
      <c r="K414" s="121"/>
      <c r="L414" s="121"/>
      <c r="M414" s="121"/>
      <c r="N414" s="122"/>
    </row>
    <row r="415" spans="2:14" ht="15.75" customHeight="1" x14ac:dyDescent="0.3">
      <c r="B415" s="123" t="s">
        <v>84</v>
      </c>
      <c r="C415" s="124" t="s">
        <v>11</v>
      </c>
      <c r="D415" s="124" t="s">
        <v>12</v>
      </c>
      <c r="E415" s="124" t="s">
        <v>13</v>
      </c>
      <c r="F415" s="124" t="s">
        <v>14</v>
      </c>
      <c r="G415" s="124" t="s">
        <v>15</v>
      </c>
      <c r="H415" s="124"/>
      <c r="I415" s="124" t="s">
        <v>26</v>
      </c>
      <c r="J415" s="124" t="s">
        <v>27</v>
      </c>
      <c r="K415" s="124" t="s">
        <v>28</v>
      </c>
      <c r="L415" s="125" t="s">
        <v>29</v>
      </c>
      <c r="M415" s="124" t="s">
        <v>30</v>
      </c>
      <c r="N415" s="126" t="s">
        <v>31</v>
      </c>
    </row>
    <row r="416" spans="2:14" ht="15.75" customHeight="1" x14ac:dyDescent="0.3">
      <c r="B416" s="52">
        <f>80*G413</f>
        <v>150400</v>
      </c>
      <c r="C416" s="45">
        <f>B416 / $G413</f>
        <v>80</v>
      </c>
      <c r="D416" s="45">
        <f>SUM($B413,$C413,$D413,$E413)</f>
        <v>0.05</v>
      </c>
      <c r="E416" s="45">
        <f>(B416 * D416) / $G413</f>
        <v>4</v>
      </c>
      <c r="F416" s="45">
        <f>C416 + E416</f>
        <v>84</v>
      </c>
      <c r="G416" s="45">
        <f>F416 * (1+$F413)</f>
        <v>105</v>
      </c>
      <c r="H416" s="127"/>
      <c r="I416" s="45">
        <f>G413 * I413</f>
        <v>206800</v>
      </c>
      <c r="J416" s="45">
        <f>_xlfn.IFS(M413 = "Yes",G413 * (J413 + L413),M413 &lt;&gt; "Yes",G413 * (J413))</f>
        <v>157920</v>
      </c>
      <c r="K416" s="45">
        <f>I416 - J416</f>
        <v>48880</v>
      </c>
      <c r="L416" s="46">
        <f>K416 / I416</f>
        <v>0.23636363636363636</v>
      </c>
      <c r="M416" s="45">
        <f>I416 / 12</f>
        <v>17233.333333333332</v>
      </c>
      <c r="N416" s="47">
        <f>K416 / 12</f>
        <v>4073.3333333333335</v>
      </c>
    </row>
    <row r="417" spans="2:14" ht="15.75" customHeight="1" x14ac:dyDescent="0.3"/>
    <row r="418" spans="2:14" ht="15.75" customHeight="1" x14ac:dyDescent="0.3"/>
    <row r="419" spans="2:14" ht="15.75" customHeight="1" x14ac:dyDescent="0.3"/>
    <row r="420" spans="2:14" ht="15.75" customHeight="1" x14ac:dyDescent="0.3"/>
    <row r="421" spans="2:14" ht="21" x14ac:dyDescent="0.4">
      <c r="B421" s="49" t="s">
        <v>137</v>
      </c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1"/>
    </row>
    <row r="422" spans="2:14" ht="43.2" x14ac:dyDescent="0.3">
      <c r="B422" s="33" t="s">
        <v>1</v>
      </c>
      <c r="C422" s="34" t="s">
        <v>3</v>
      </c>
      <c r="D422" s="34" t="s">
        <v>2</v>
      </c>
      <c r="E422" s="34" t="s">
        <v>4</v>
      </c>
      <c r="F422" s="34" t="s">
        <v>6</v>
      </c>
      <c r="G422" s="34" t="s">
        <v>5</v>
      </c>
      <c r="H422" s="34"/>
      <c r="I422" s="34" t="s">
        <v>19</v>
      </c>
      <c r="J422" s="34" t="s">
        <v>20</v>
      </c>
      <c r="K422" s="34" t="s">
        <v>21</v>
      </c>
      <c r="L422" s="35" t="s">
        <v>22</v>
      </c>
      <c r="M422" s="34" t="s">
        <v>23</v>
      </c>
      <c r="N422" s="36" t="s">
        <v>24</v>
      </c>
    </row>
    <row r="423" spans="2:14" ht="14.4" x14ac:dyDescent="0.3">
      <c r="B423" s="55">
        <v>0.13</v>
      </c>
      <c r="C423" s="59">
        <v>0</v>
      </c>
      <c r="D423" s="53">
        <v>0.12</v>
      </c>
      <c r="E423" s="53">
        <v>0.1</v>
      </c>
      <c r="F423" s="53">
        <v>0.25</v>
      </c>
      <c r="G423" s="54">
        <v>940</v>
      </c>
      <c r="H423" s="116"/>
      <c r="I423" s="117">
        <v>172</v>
      </c>
      <c r="J423" s="118">
        <f>F426</f>
        <v>287.23404255319144</v>
      </c>
      <c r="K423" s="118">
        <f>I423 - J423</f>
        <v>-115.23404255319144</v>
      </c>
      <c r="L423" s="118">
        <f>1000 / (G423 / 12)</f>
        <v>12.765957446808512</v>
      </c>
      <c r="M423" s="115" t="s">
        <v>32</v>
      </c>
      <c r="N423" s="119">
        <f>_xlfn.IFS(M423 = "Yes",K423 - L423,M423 = "No",K423)</f>
        <v>-115.23404255319144</v>
      </c>
    </row>
    <row r="424" spans="2:14" ht="14.4" x14ac:dyDescent="0.3">
      <c r="B424" s="120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2"/>
    </row>
    <row r="425" spans="2:14" ht="43.2" x14ac:dyDescent="0.3">
      <c r="B425" s="123" t="s">
        <v>84</v>
      </c>
      <c r="C425" s="124" t="s">
        <v>11</v>
      </c>
      <c r="D425" s="124" t="s">
        <v>12</v>
      </c>
      <c r="E425" s="124" t="s">
        <v>13</v>
      </c>
      <c r="F425" s="124" t="s">
        <v>14</v>
      </c>
      <c r="G425" s="124" t="s">
        <v>15</v>
      </c>
      <c r="H425" s="124"/>
      <c r="I425" s="124" t="s">
        <v>26</v>
      </c>
      <c r="J425" s="124" t="s">
        <v>27</v>
      </c>
      <c r="K425" s="124" t="s">
        <v>28</v>
      </c>
      <c r="L425" s="125" t="s">
        <v>29</v>
      </c>
      <c r="M425" s="124" t="s">
        <v>30</v>
      </c>
      <c r="N425" s="126" t="s">
        <v>31</v>
      </c>
    </row>
    <row r="426" spans="2:14" ht="14.4" x14ac:dyDescent="0.3">
      <c r="B426" s="52">
        <v>200000</v>
      </c>
      <c r="C426" s="45">
        <f>B426 / $G423</f>
        <v>212.7659574468085</v>
      </c>
      <c r="D426" s="45">
        <f>SUM($B423,$C423,$D423,$E423)</f>
        <v>0.35</v>
      </c>
      <c r="E426" s="45">
        <f>(B426 * D426) / $G423</f>
        <v>74.468085106382972</v>
      </c>
      <c r="F426" s="45">
        <f>C426 + E426</f>
        <v>287.23404255319144</v>
      </c>
      <c r="G426" s="45">
        <f>F426 * (1+$F423)</f>
        <v>359.04255319148933</v>
      </c>
      <c r="H426" s="127"/>
      <c r="I426" s="45">
        <f>G423 * I423</f>
        <v>161680</v>
      </c>
      <c r="J426" s="45">
        <f>_xlfn.IFS(M423 = "Yes",G423 * (J423 + L423),M423 &lt;&gt; "Yes",G423 * (J423))</f>
        <v>269999.99999999994</v>
      </c>
      <c r="K426" s="45">
        <f>I426 - J426</f>
        <v>-108319.99999999994</v>
      </c>
      <c r="L426" s="46">
        <f>K426 / I426</f>
        <v>-0.66996536368134552</v>
      </c>
      <c r="M426" s="45">
        <f>I426 / 12</f>
        <v>13473.333333333334</v>
      </c>
      <c r="N426" s="47">
        <f>K426 / 12</f>
        <v>-9026.6666666666624</v>
      </c>
    </row>
    <row r="427" spans="2:14" ht="14.4" x14ac:dyDescent="0.3"/>
    <row r="428" spans="2:14" ht="21" x14ac:dyDescent="0.4">
      <c r="B428" s="49" t="s">
        <v>121</v>
      </c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1"/>
    </row>
    <row r="429" spans="2:14" ht="43.2" x14ac:dyDescent="0.3">
      <c r="B429" s="33" t="s">
        <v>1</v>
      </c>
      <c r="C429" s="34" t="s">
        <v>3</v>
      </c>
      <c r="D429" s="34" t="s">
        <v>2</v>
      </c>
      <c r="E429" s="34" t="s">
        <v>4</v>
      </c>
      <c r="F429" s="34" t="s">
        <v>6</v>
      </c>
      <c r="G429" s="34" t="s">
        <v>5</v>
      </c>
      <c r="H429" s="34"/>
      <c r="I429" s="34" t="s">
        <v>19</v>
      </c>
      <c r="J429" s="34" t="s">
        <v>20</v>
      </c>
      <c r="K429" s="34" t="s">
        <v>21</v>
      </c>
      <c r="L429" s="35" t="s">
        <v>22</v>
      </c>
      <c r="M429" s="34" t="s">
        <v>23</v>
      </c>
      <c r="N429" s="36" t="s">
        <v>24</v>
      </c>
    </row>
    <row r="430" spans="2:14" ht="14.4" x14ac:dyDescent="0.3">
      <c r="B430" s="55">
        <v>0.03</v>
      </c>
      <c r="C430" s="53">
        <v>0.1</v>
      </c>
      <c r="D430" s="53">
        <v>0.12</v>
      </c>
      <c r="E430" s="53">
        <v>0.1</v>
      </c>
      <c r="F430" s="53">
        <v>0.25</v>
      </c>
      <c r="G430" s="54">
        <v>1880</v>
      </c>
      <c r="H430" s="37"/>
      <c r="I430" s="56">
        <v>90</v>
      </c>
      <c r="J430" s="29">
        <f>F433</f>
        <v>129.25531914893617</v>
      </c>
      <c r="K430" s="29">
        <f>I430 - J430</f>
        <v>-39.255319148936167</v>
      </c>
      <c r="L430" s="29">
        <f>1000 / (G430 / 12)</f>
        <v>6.3829787234042561</v>
      </c>
      <c r="M430" s="54" t="s">
        <v>32</v>
      </c>
      <c r="N430" s="38">
        <f>_xlfn.IFS(M430 = "Yes",K430 - L430,M430 = "No",K430)</f>
        <v>-39.255319148936167</v>
      </c>
    </row>
    <row r="431" spans="2:14" ht="14.4" x14ac:dyDescent="0.3">
      <c r="B431" s="39"/>
      <c r="C431" s="40"/>
      <c r="D431" s="40"/>
      <c r="E431" s="40"/>
      <c r="F431" s="40"/>
      <c r="G431" s="40"/>
      <c r="H431" s="40"/>
      <c r="I431" s="65"/>
      <c r="J431" s="40"/>
      <c r="K431" s="40"/>
      <c r="L431" s="40"/>
      <c r="M431" s="40"/>
      <c r="N431" s="41"/>
    </row>
    <row r="432" spans="2:14" ht="43.2" x14ac:dyDescent="0.3">
      <c r="B432" s="33" t="s">
        <v>84</v>
      </c>
      <c r="C432" s="34" t="s">
        <v>11</v>
      </c>
      <c r="D432" s="34" t="s">
        <v>12</v>
      </c>
      <c r="E432" s="34" t="s">
        <v>13</v>
      </c>
      <c r="F432" s="34" t="s">
        <v>14</v>
      </c>
      <c r="G432" s="34" t="s">
        <v>15</v>
      </c>
      <c r="H432" s="34"/>
      <c r="I432" s="34" t="s">
        <v>26</v>
      </c>
      <c r="J432" s="34" t="s">
        <v>27</v>
      </c>
      <c r="K432" s="34" t="s">
        <v>28</v>
      </c>
      <c r="L432" s="30" t="s">
        <v>29</v>
      </c>
      <c r="M432" s="34" t="s">
        <v>30</v>
      </c>
      <c r="N432" s="36" t="s">
        <v>31</v>
      </c>
    </row>
    <row r="433" spans="2:14" ht="14.4" x14ac:dyDescent="0.3">
      <c r="B433" s="52">
        <v>180000</v>
      </c>
      <c r="C433" s="42">
        <f>B433 / $G430</f>
        <v>95.744680851063833</v>
      </c>
      <c r="D433" s="43">
        <f>SUM($B430,$C430,$D430,$E430)</f>
        <v>0.35</v>
      </c>
      <c r="E433" s="42">
        <f>(B433 * D433) / $G430</f>
        <v>33.510638297872333</v>
      </c>
      <c r="F433" s="42">
        <f>C433 + E433</f>
        <v>129.25531914893617</v>
      </c>
      <c r="G433" s="42">
        <f>F433 * (1+$F430)</f>
        <v>161.56914893617022</v>
      </c>
      <c r="H433" s="44"/>
      <c r="I433" s="45">
        <f>G430 * I430</f>
        <v>169200</v>
      </c>
      <c r="J433" s="45">
        <f>_xlfn.IFS(M430 = "Yes",G430 * (J430 + L430),M430 &lt;&gt; "Yes",G430 * (J430))</f>
        <v>243000</v>
      </c>
      <c r="K433" s="45">
        <f>I433 - J433</f>
        <v>-73800</v>
      </c>
      <c r="L433" s="46">
        <f>K433 / I433</f>
        <v>-0.43617021276595747</v>
      </c>
      <c r="M433" s="45">
        <f>I433 / 12</f>
        <v>14100</v>
      </c>
      <c r="N433" s="47">
        <f>K433 / 12</f>
        <v>-6150</v>
      </c>
    </row>
    <row r="434" spans="2:14" ht="15.75" customHeight="1" x14ac:dyDescent="0.3"/>
    <row r="435" spans="2:14" ht="15.75" customHeight="1" x14ac:dyDescent="0.4">
      <c r="B435" s="49" t="s">
        <v>138</v>
      </c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1"/>
    </row>
    <row r="436" spans="2:14" ht="43.2" x14ac:dyDescent="0.3">
      <c r="B436" s="33" t="s">
        <v>1</v>
      </c>
      <c r="C436" s="34" t="s">
        <v>3</v>
      </c>
      <c r="D436" s="34" t="s">
        <v>2</v>
      </c>
      <c r="E436" s="34" t="s">
        <v>4</v>
      </c>
      <c r="F436" s="34" t="s">
        <v>6</v>
      </c>
      <c r="G436" s="34" t="s">
        <v>5</v>
      </c>
      <c r="H436" s="34"/>
      <c r="I436" s="34" t="s">
        <v>19</v>
      </c>
      <c r="J436" s="34" t="s">
        <v>20</v>
      </c>
      <c r="K436" s="34" t="s">
        <v>21</v>
      </c>
      <c r="L436" s="35" t="s">
        <v>22</v>
      </c>
      <c r="M436" s="34" t="s">
        <v>23</v>
      </c>
      <c r="N436" s="36" t="s">
        <v>24</v>
      </c>
    </row>
    <row r="437" spans="2:14" ht="15.75" customHeight="1" x14ac:dyDescent="0.3">
      <c r="B437" s="55">
        <v>0</v>
      </c>
      <c r="C437" s="53">
        <v>0</v>
      </c>
      <c r="D437" s="53">
        <v>0</v>
      </c>
      <c r="E437" s="53">
        <v>0.05</v>
      </c>
      <c r="F437" s="53">
        <v>0.25</v>
      </c>
      <c r="G437" s="140">
        <v>940</v>
      </c>
      <c r="H437" s="121"/>
      <c r="I437" s="117">
        <v>172</v>
      </c>
      <c r="J437" s="118">
        <f>F440</f>
        <v>131.25</v>
      </c>
      <c r="K437" s="118">
        <f>I437 - J437</f>
        <v>40.75</v>
      </c>
      <c r="L437" s="118">
        <f>1000 / (G437 / 12)</f>
        <v>12.765957446808512</v>
      </c>
      <c r="M437" s="115" t="s">
        <v>32</v>
      </c>
      <c r="N437" s="119">
        <f>_xlfn.IFS(M437 = "Yes",K437 - L437,M437 = "No",K437)</f>
        <v>40.75</v>
      </c>
    </row>
    <row r="438" spans="2:14" ht="15.75" customHeight="1" x14ac:dyDescent="0.3">
      <c r="B438" s="120"/>
      <c r="C438" s="121"/>
      <c r="D438" s="121"/>
      <c r="E438" s="121"/>
      <c r="F438" s="121"/>
      <c r="G438" s="121">
        <v>900</v>
      </c>
      <c r="H438" s="63"/>
      <c r="I438" s="121"/>
      <c r="J438" s="121"/>
      <c r="K438" s="121"/>
      <c r="L438" s="121"/>
      <c r="M438" s="121"/>
      <c r="N438" s="122"/>
    </row>
    <row r="439" spans="2:14" ht="43.2" x14ac:dyDescent="0.3">
      <c r="B439" s="123" t="s">
        <v>84</v>
      </c>
      <c r="C439" s="124" t="s">
        <v>11</v>
      </c>
      <c r="D439" s="124" t="s">
        <v>12</v>
      </c>
      <c r="E439" s="124" t="s">
        <v>13</v>
      </c>
      <c r="F439" s="124" t="s">
        <v>14</v>
      </c>
      <c r="G439" s="124" t="s">
        <v>15</v>
      </c>
      <c r="H439" s="124"/>
      <c r="I439" s="124" t="s">
        <v>26</v>
      </c>
      <c r="J439" s="124" t="s">
        <v>27</v>
      </c>
      <c r="K439" s="124" t="s">
        <v>28</v>
      </c>
      <c r="L439" s="125" t="s">
        <v>29</v>
      </c>
      <c r="M439" s="124" t="s">
        <v>30</v>
      </c>
      <c r="N439" s="126" t="s">
        <v>31</v>
      </c>
    </row>
    <row r="440" spans="2:14" ht="15.75" customHeight="1" x14ac:dyDescent="0.3">
      <c r="B440" s="52">
        <f>125*G437</f>
        <v>117500</v>
      </c>
      <c r="C440" s="45">
        <f>B440 / G437</f>
        <v>125</v>
      </c>
      <c r="D440" s="45">
        <f>SUM($B437,$C437,$D437,$E437)</f>
        <v>0.05</v>
      </c>
      <c r="E440" s="45">
        <f>(B440 * D440) / $G437</f>
        <v>6.25</v>
      </c>
      <c r="F440" s="45">
        <f>C440 + E440</f>
        <v>131.25</v>
      </c>
      <c r="G440" s="45">
        <f>F440 * (1+$F437)</f>
        <v>164.0625</v>
      </c>
      <c r="H440" s="127"/>
      <c r="I440" s="45">
        <f>G437 * I437</f>
        <v>161680</v>
      </c>
      <c r="J440" s="45">
        <f>_xlfn.IFS(M437 = "Yes",G437 * (J437 + L437),M437 &lt;&gt; "Yes",G437 * (J437))</f>
        <v>123375</v>
      </c>
      <c r="K440" s="45">
        <f>I440 - J440</f>
        <v>38305</v>
      </c>
      <c r="L440" s="46">
        <f>K440 / I440</f>
        <v>0.2369186046511628</v>
      </c>
      <c r="M440" s="45">
        <f>I440 / 12</f>
        <v>13473.333333333334</v>
      </c>
      <c r="N440" s="47">
        <f>K440 / 12</f>
        <v>3192.0833333333335</v>
      </c>
    </row>
    <row r="441" spans="2:14" ht="15.75" customHeight="1" x14ac:dyDescent="0.3">
      <c r="I441" s="63">
        <f>I440</f>
        <v>161680</v>
      </c>
      <c r="J441" s="142">
        <f>G438*J437</f>
        <v>118125</v>
      </c>
      <c r="K441" s="143">
        <f>I441 - J441</f>
        <v>43555</v>
      </c>
      <c r="L441" s="144">
        <f>K441 / I441</f>
        <v>0.26939015338941119</v>
      </c>
      <c r="M441" s="143">
        <f>I441 / 12</f>
        <v>13473.333333333334</v>
      </c>
      <c r="N441" s="145">
        <f>K441 / 12</f>
        <v>3629.5833333333335</v>
      </c>
    </row>
    <row r="442" spans="2:14" ht="15.75" customHeight="1" x14ac:dyDescent="0.3"/>
    <row r="443" spans="2:14" ht="28.8" x14ac:dyDescent="0.3">
      <c r="I443" s="195" t="s">
        <v>26</v>
      </c>
      <c r="J443" s="195" t="s">
        <v>27</v>
      </c>
      <c r="K443" s="195" t="s">
        <v>28</v>
      </c>
      <c r="L443" s="196" t="s">
        <v>29</v>
      </c>
      <c r="M443" s="195" t="s">
        <v>30</v>
      </c>
      <c r="N443" s="197" t="s">
        <v>31</v>
      </c>
    </row>
    <row r="444" spans="2:14" ht="15.75" customHeight="1" x14ac:dyDescent="0.3">
      <c r="I444" s="198">
        <f>SUM(I441,I433,I426)</f>
        <v>492560</v>
      </c>
      <c r="J444" s="198">
        <f>SUM(J441,J433,J426)</f>
        <v>631125</v>
      </c>
      <c r="K444" s="198">
        <f>SUM(K441,K433,K426)</f>
        <v>-138564.99999999994</v>
      </c>
      <c r="L444" s="199">
        <f>K444 / I444</f>
        <v>-0.2813159818093226</v>
      </c>
      <c r="M444" s="198">
        <f>SUM(M441,M433,M426)</f>
        <v>41046.666666666672</v>
      </c>
      <c r="N444" s="198">
        <f>SUM(N441,N433,N426)</f>
        <v>-11547.083333333328</v>
      </c>
    </row>
    <row r="445" spans="2:14" ht="15.75" customHeight="1" x14ac:dyDescent="0.3"/>
    <row r="446" spans="2:14" ht="23.4" x14ac:dyDescent="0.45">
      <c r="B446" s="76" t="s">
        <v>139</v>
      </c>
    </row>
    <row r="447" spans="2:14" ht="36.9" customHeight="1" x14ac:dyDescent="0.3">
      <c r="B447" s="267" t="s">
        <v>140</v>
      </c>
    </row>
    <row r="448" spans="2:14" ht="21" x14ac:dyDescent="0.4">
      <c r="B448" s="49" t="s">
        <v>137</v>
      </c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1"/>
    </row>
    <row r="449" spans="2:14" ht="43.2" x14ac:dyDescent="0.3">
      <c r="B449" s="33" t="s">
        <v>1</v>
      </c>
      <c r="C449" s="34" t="s">
        <v>3</v>
      </c>
      <c r="D449" s="34" t="s">
        <v>2</v>
      </c>
      <c r="E449" s="34" t="s">
        <v>4</v>
      </c>
      <c r="F449" s="34" t="s">
        <v>6</v>
      </c>
      <c r="G449" s="34" t="s">
        <v>5</v>
      </c>
      <c r="H449" s="34"/>
      <c r="I449" s="34" t="s">
        <v>19</v>
      </c>
      <c r="J449" s="34" t="s">
        <v>20</v>
      </c>
      <c r="K449" s="34" t="s">
        <v>21</v>
      </c>
      <c r="L449" s="35" t="s">
        <v>22</v>
      </c>
      <c r="M449" s="34" t="s">
        <v>23</v>
      </c>
      <c r="N449" s="36" t="s">
        <v>24</v>
      </c>
    </row>
    <row r="450" spans="2:14" ht="14.4" x14ac:dyDescent="0.3">
      <c r="B450" s="55">
        <v>0.13</v>
      </c>
      <c r="C450" s="59">
        <v>0</v>
      </c>
      <c r="D450" s="53">
        <v>0.12</v>
      </c>
      <c r="E450" s="53">
        <v>0.1</v>
      </c>
      <c r="F450" s="53">
        <v>0.25</v>
      </c>
      <c r="G450" s="54">
        <v>1880</v>
      </c>
      <c r="H450" s="116"/>
      <c r="I450" s="117">
        <v>172</v>
      </c>
      <c r="J450" s="118">
        <f>F453</f>
        <v>143.61702127659572</v>
      </c>
      <c r="K450" s="118">
        <f>I450 - J450</f>
        <v>28.382978723404278</v>
      </c>
      <c r="L450" s="118">
        <f>1000 / (G450 / 12)</f>
        <v>6.3829787234042561</v>
      </c>
      <c r="M450" s="115" t="s">
        <v>32</v>
      </c>
      <c r="N450" s="119">
        <f>_xlfn.IFS(M450 = "Yes",K450 - L450,M450 = "No",K450)</f>
        <v>28.382978723404278</v>
      </c>
    </row>
    <row r="451" spans="2:14" ht="14.4" x14ac:dyDescent="0.3">
      <c r="B451" s="120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2"/>
    </row>
    <row r="452" spans="2:14" ht="43.2" x14ac:dyDescent="0.3">
      <c r="B452" s="123" t="s">
        <v>84</v>
      </c>
      <c r="C452" s="124" t="s">
        <v>11</v>
      </c>
      <c r="D452" s="124" t="s">
        <v>12</v>
      </c>
      <c r="E452" s="124" t="s">
        <v>13</v>
      </c>
      <c r="F452" s="124" t="s">
        <v>14</v>
      </c>
      <c r="G452" s="124" t="s">
        <v>15</v>
      </c>
      <c r="H452" s="124"/>
      <c r="I452" s="124" t="s">
        <v>26</v>
      </c>
      <c r="J452" s="124" t="s">
        <v>27</v>
      </c>
      <c r="K452" s="124" t="s">
        <v>28</v>
      </c>
      <c r="L452" s="125" t="s">
        <v>29</v>
      </c>
      <c r="M452" s="124" t="s">
        <v>30</v>
      </c>
      <c r="N452" s="126" t="s">
        <v>31</v>
      </c>
    </row>
    <row r="453" spans="2:14" ht="14.4" x14ac:dyDescent="0.3">
      <c r="B453" s="52">
        <v>200000</v>
      </c>
      <c r="C453" s="45">
        <f>B453 / $G450</f>
        <v>106.38297872340425</v>
      </c>
      <c r="D453" s="45">
        <f>SUM($B450,$C450,$D450,$E450)</f>
        <v>0.35</v>
      </c>
      <c r="E453" s="45">
        <f>(B453 * D453) / $G450</f>
        <v>37.234042553191486</v>
      </c>
      <c r="F453" s="45">
        <f>C453 + E453</f>
        <v>143.61702127659572</v>
      </c>
      <c r="G453" s="45">
        <f>F453 * (1+$F450)</f>
        <v>179.52127659574467</v>
      </c>
      <c r="H453" s="127"/>
      <c r="I453" s="45">
        <f>G450 * I450</f>
        <v>323360</v>
      </c>
      <c r="J453" s="45">
        <f>_xlfn.IFS(M450 = "Yes",G450 * (J450 + L450),M450 &lt;&gt; "Yes",G450 * (J450))</f>
        <v>269999.99999999994</v>
      </c>
      <c r="K453" s="45">
        <f>I453 - J453</f>
        <v>53360.000000000058</v>
      </c>
      <c r="L453" s="46">
        <f>K453 / I453</f>
        <v>0.16501731815932724</v>
      </c>
      <c r="M453" s="45">
        <f>I453 / 12</f>
        <v>26946.666666666668</v>
      </c>
      <c r="N453" s="47">
        <f>K453 / 12</f>
        <v>4446.6666666666715</v>
      </c>
    </row>
    <row r="454" spans="2:14" ht="14.4" x14ac:dyDescent="0.3"/>
    <row r="455" spans="2:14" ht="14.4" x14ac:dyDescent="0.3"/>
    <row r="456" spans="2:14" ht="21" x14ac:dyDescent="0.4">
      <c r="B456" s="49" t="s">
        <v>138</v>
      </c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1"/>
    </row>
    <row r="457" spans="2:14" ht="43.2" x14ac:dyDescent="0.3">
      <c r="B457" s="33" t="s">
        <v>1</v>
      </c>
      <c r="C457" s="34" t="s">
        <v>3</v>
      </c>
      <c r="D457" s="34" t="s">
        <v>2</v>
      </c>
      <c r="E457" s="34" t="s">
        <v>4</v>
      </c>
      <c r="F457" s="34" t="s">
        <v>6</v>
      </c>
      <c r="G457" s="34" t="s">
        <v>5</v>
      </c>
      <c r="H457" s="34"/>
      <c r="I457" s="34" t="s">
        <v>19</v>
      </c>
      <c r="J457" s="34" t="s">
        <v>20</v>
      </c>
      <c r="K457" s="34" t="s">
        <v>21</v>
      </c>
      <c r="L457" s="35" t="s">
        <v>22</v>
      </c>
      <c r="M457" s="34" t="s">
        <v>23</v>
      </c>
      <c r="N457" s="36" t="s">
        <v>24</v>
      </c>
    </row>
    <row r="458" spans="2:14" ht="14.4" x14ac:dyDescent="0.3">
      <c r="B458" s="55">
        <v>0</v>
      </c>
      <c r="C458" s="53">
        <v>0</v>
      </c>
      <c r="D458" s="53">
        <v>0</v>
      </c>
      <c r="E458" s="53">
        <v>0.05</v>
      </c>
      <c r="F458" s="53">
        <v>0.25</v>
      </c>
      <c r="G458" s="140">
        <v>940</v>
      </c>
      <c r="H458" s="121"/>
      <c r="I458" s="117">
        <v>172</v>
      </c>
      <c r="J458" s="118">
        <f>F461</f>
        <v>131.25</v>
      </c>
      <c r="K458" s="118">
        <f>I458 - J458</f>
        <v>40.75</v>
      </c>
      <c r="L458" s="118">
        <f>1000 / (G458 / 12)</f>
        <v>12.765957446808512</v>
      </c>
      <c r="M458" s="115" t="s">
        <v>32</v>
      </c>
      <c r="N458" s="119">
        <f>_xlfn.IFS(M458 = "Yes",K458 - L458,M458 = "No",K458)</f>
        <v>40.75</v>
      </c>
    </row>
    <row r="459" spans="2:14" ht="14.4" x14ac:dyDescent="0.3">
      <c r="B459" s="120"/>
      <c r="C459" s="121"/>
      <c r="D459" s="121"/>
      <c r="E459" s="121"/>
      <c r="F459" s="121"/>
      <c r="G459" s="121">
        <v>900</v>
      </c>
      <c r="H459" s="63"/>
      <c r="I459" s="121"/>
      <c r="J459" s="121"/>
      <c r="K459" s="121"/>
      <c r="L459" s="121"/>
      <c r="M459" s="121"/>
      <c r="N459" s="122"/>
    </row>
    <row r="460" spans="2:14" ht="43.2" x14ac:dyDescent="0.3">
      <c r="B460" s="123" t="s">
        <v>84</v>
      </c>
      <c r="C460" s="124" t="s">
        <v>11</v>
      </c>
      <c r="D460" s="124" t="s">
        <v>12</v>
      </c>
      <c r="E460" s="124" t="s">
        <v>13</v>
      </c>
      <c r="F460" s="124" t="s">
        <v>14</v>
      </c>
      <c r="G460" s="124" t="s">
        <v>15</v>
      </c>
      <c r="H460" s="124"/>
      <c r="I460" s="124" t="s">
        <v>26</v>
      </c>
      <c r="J460" s="124" t="s">
        <v>27</v>
      </c>
      <c r="K460" s="124" t="s">
        <v>28</v>
      </c>
      <c r="L460" s="125" t="s">
        <v>29</v>
      </c>
      <c r="M460" s="124" t="s">
        <v>30</v>
      </c>
      <c r="N460" s="126" t="s">
        <v>31</v>
      </c>
    </row>
    <row r="461" spans="2:14" ht="14.4" x14ac:dyDescent="0.3">
      <c r="B461" s="52">
        <f>125*G458</f>
        <v>117500</v>
      </c>
      <c r="C461" s="45">
        <f>B461 / G458</f>
        <v>125</v>
      </c>
      <c r="D461" s="45">
        <f>SUM($B458,$C458,$D458,$E458)</f>
        <v>0.05</v>
      </c>
      <c r="E461" s="45">
        <f>(B461 * D461) / $G458</f>
        <v>6.25</v>
      </c>
      <c r="F461" s="45">
        <f>C461 + E461</f>
        <v>131.25</v>
      </c>
      <c r="G461" s="45">
        <f>F461 * (1+$F458)</f>
        <v>164.0625</v>
      </c>
      <c r="H461" s="127"/>
      <c r="I461" s="45">
        <f>G458 * I458</f>
        <v>161680</v>
      </c>
      <c r="J461" s="45">
        <f>_xlfn.IFS(M458 = "Yes",G458 * (J458 + L458),M458 &lt;&gt; "Yes",G458 * (J458))</f>
        <v>123375</v>
      </c>
      <c r="K461" s="45">
        <f>I461 - J461</f>
        <v>38305</v>
      </c>
      <c r="L461" s="46">
        <f>K461 / I461</f>
        <v>0.2369186046511628</v>
      </c>
      <c r="M461" s="45">
        <f>I461 / 12</f>
        <v>13473.333333333334</v>
      </c>
      <c r="N461" s="47">
        <f>K461 / 12</f>
        <v>3192.0833333333335</v>
      </c>
    </row>
    <row r="462" spans="2:14" ht="14.4" x14ac:dyDescent="0.3">
      <c r="I462" s="63">
        <f>I461</f>
        <v>161680</v>
      </c>
      <c r="J462" s="142">
        <f>G459*J458</f>
        <v>118125</v>
      </c>
      <c r="K462" s="143">
        <f>I462 - J462</f>
        <v>43555</v>
      </c>
      <c r="L462" s="144">
        <f>K462 / I462</f>
        <v>0.26939015338941119</v>
      </c>
      <c r="M462" s="143">
        <f>I462 / 12</f>
        <v>13473.333333333334</v>
      </c>
      <c r="N462" s="145">
        <f>K462 / 12</f>
        <v>3629.5833333333335</v>
      </c>
    </row>
    <row r="463" spans="2:14" ht="14.4" x14ac:dyDescent="0.3"/>
    <row r="464" spans="2:14" ht="21" x14ac:dyDescent="0.4">
      <c r="B464" s="49" t="s">
        <v>141</v>
      </c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1"/>
    </row>
    <row r="465" spans="2:14" ht="43.2" x14ac:dyDescent="0.3">
      <c r="B465" s="33" t="s">
        <v>1</v>
      </c>
      <c r="C465" s="34" t="s">
        <v>3</v>
      </c>
      <c r="D465" s="34" t="s">
        <v>2</v>
      </c>
      <c r="E465" s="34" t="s">
        <v>4</v>
      </c>
      <c r="F465" s="34" t="s">
        <v>6</v>
      </c>
      <c r="G465" s="34" t="s">
        <v>5</v>
      </c>
      <c r="H465" s="34"/>
      <c r="I465" s="34" t="s">
        <v>19</v>
      </c>
      <c r="J465" s="34" t="s">
        <v>20</v>
      </c>
      <c r="K465" s="34" t="s">
        <v>21</v>
      </c>
      <c r="L465" s="35" t="s">
        <v>22</v>
      </c>
      <c r="M465" s="34" t="s">
        <v>23</v>
      </c>
      <c r="N465" s="36" t="s">
        <v>24</v>
      </c>
    </row>
    <row r="466" spans="2:14" ht="14.4" x14ac:dyDescent="0.3">
      <c r="B466" s="55">
        <v>0</v>
      </c>
      <c r="C466" s="53">
        <v>0</v>
      </c>
      <c r="D466" s="53">
        <v>0</v>
      </c>
      <c r="E466" s="53">
        <v>0.05</v>
      </c>
      <c r="F466" s="53">
        <v>0.25</v>
      </c>
      <c r="G466" s="140">
        <v>940</v>
      </c>
      <c r="H466" s="121"/>
      <c r="I466" s="117">
        <v>172</v>
      </c>
      <c r="J466" s="118">
        <f>F469</f>
        <v>131.25</v>
      </c>
      <c r="K466" s="118">
        <f>I466 - J466</f>
        <v>40.75</v>
      </c>
      <c r="L466" s="118">
        <f>1000 / (G466 / 12)</f>
        <v>12.765957446808512</v>
      </c>
      <c r="M466" s="115" t="s">
        <v>32</v>
      </c>
      <c r="N466" s="119">
        <f>_xlfn.IFS(M466 = "Yes",K466 - L466,M466 = "No",K466)</f>
        <v>40.75</v>
      </c>
    </row>
    <row r="467" spans="2:14" ht="14.4" x14ac:dyDescent="0.3">
      <c r="B467" s="120"/>
      <c r="C467" s="121"/>
      <c r="D467" s="121"/>
      <c r="E467" s="121"/>
      <c r="F467" s="121"/>
      <c r="G467" s="121">
        <v>900</v>
      </c>
      <c r="H467" s="63"/>
      <c r="I467" s="121"/>
      <c r="J467" s="121"/>
      <c r="K467" s="121"/>
      <c r="L467" s="121"/>
      <c r="M467" s="121"/>
      <c r="N467" s="122"/>
    </row>
    <row r="468" spans="2:14" ht="43.2" x14ac:dyDescent="0.3">
      <c r="B468" s="123" t="s">
        <v>84</v>
      </c>
      <c r="C468" s="124" t="s">
        <v>11</v>
      </c>
      <c r="D468" s="124" t="s">
        <v>12</v>
      </c>
      <c r="E468" s="124" t="s">
        <v>13</v>
      </c>
      <c r="F468" s="124" t="s">
        <v>14</v>
      </c>
      <c r="G468" s="124" t="s">
        <v>15</v>
      </c>
      <c r="H468" s="124"/>
      <c r="I468" s="124" t="s">
        <v>26</v>
      </c>
      <c r="J468" s="124" t="s">
        <v>27</v>
      </c>
      <c r="K468" s="124" t="s">
        <v>28</v>
      </c>
      <c r="L468" s="125" t="s">
        <v>29</v>
      </c>
      <c r="M468" s="124" t="s">
        <v>30</v>
      </c>
      <c r="N468" s="126" t="s">
        <v>31</v>
      </c>
    </row>
    <row r="469" spans="2:14" ht="14.4" x14ac:dyDescent="0.3">
      <c r="B469" s="52">
        <f>125*G466</f>
        <v>117500</v>
      </c>
      <c r="C469" s="45">
        <f>B469 / G466</f>
        <v>125</v>
      </c>
      <c r="D469" s="45">
        <f>SUM($B466,$C466,$D466,$E466)</f>
        <v>0.05</v>
      </c>
      <c r="E469" s="45">
        <f>(B469 * D469) / $G466</f>
        <v>6.25</v>
      </c>
      <c r="F469" s="45">
        <f>C469 + E469</f>
        <v>131.25</v>
      </c>
      <c r="G469" s="45">
        <f>F469 * (1+$F466)</f>
        <v>164.0625</v>
      </c>
      <c r="H469" s="127"/>
      <c r="I469" s="45">
        <f>G466 * I466</f>
        <v>161680</v>
      </c>
      <c r="J469" s="45">
        <f>_xlfn.IFS(M466 = "Yes",G466 * (J466 + L466),M466 &lt;&gt; "Yes",G466 * (J466))</f>
        <v>123375</v>
      </c>
      <c r="K469" s="45">
        <f>I469 - J469</f>
        <v>38305</v>
      </c>
      <c r="L469" s="46">
        <f>K469 / I469</f>
        <v>0.2369186046511628</v>
      </c>
      <c r="M469" s="45">
        <f>I469 / 12</f>
        <v>13473.333333333334</v>
      </c>
      <c r="N469" s="47">
        <f>K469 / 12</f>
        <v>3192.0833333333335</v>
      </c>
    </row>
    <row r="470" spans="2:14" ht="14.4" x14ac:dyDescent="0.3"/>
    <row r="471" spans="2:14" ht="28.8" x14ac:dyDescent="0.3">
      <c r="G471" s="193" t="s">
        <v>142</v>
      </c>
      <c r="H471" s="194"/>
      <c r="I471" s="195" t="s">
        <v>26</v>
      </c>
      <c r="J471" s="195" t="s">
        <v>27</v>
      </c>
      <c r="K471" s="195" t="s">
        <v>28</v>
      </c>
      <c r="L471" s="196" t="s">
        <v>29</v>
      </c>
      <c r="M471" s="195" t="s">
        <v>30</v>
      </c>
      <c r="N471" s="197" t="s">
        <v>31</v>
      </c>
    </row>
    <row r="472" spans="2:14" ht="14.4" x14ac:dyDescent="0.3">
      <c r="G472" s="194"/>
      <c r="H472" s="194"/>
      <c r="I472" s="198">
        <f>SUM(I462,I453,I469)</f>
        <v>646720</v>
      </c>
      <c r="J472" s="198">
        <f>SUM(J462,J453,J469)</f>
        <v>511499.99999999994</v>
      </c>
      <c r="K472" s="198">
        <f>SUM(K462,K453,K469)</f>
        <v>135220.00000000006</v>
      </c>
      <c r="L472" s="199">
        <f>K472 / I472</f>
        <v>0.20908584858980711</v>
      </c>
      <c r="M472" s="198">
        <f>SUM(M462,M453,M469)</f>
        <v>53893.333333333336</v>
      </c>
      <c r="N472" s="198">
        <f>SUM(N462,N453,N469)</f>
        <v>11268.333333333339</v>
      </c>
    </row>
    <row r="473" spans="2:14" ht="15.75" customHeight="1" x14ac:dyDescent="0.3"/>
    <row r="474" spans="2:14" ht="15.75" customHeight="1" x14ac:dyDescent="0.3">
      <c r="G474" s="267"/>
    </row>
    <row r="475" spans="2:14" ht="28.8" x14ac:dyDescent="0.3">
      <c r="G475" s="277" t="s">
        <v>143</v>
      </c>
      <c r="H475" s="277"/>
      <c r="I475" s="195" t="s">
        <v>26</v>
      </c>
      <c r="J475" s="195" t="s">
        <v>27</v>
      </c>
      <c r="K475" s="195" t="s">
        <v>28</v>
      </c>
      <c r="L475" s="196" t="s">
        <v>29</v>
      </c>
      <c r="M475" s="195" t="s">
        <v>30</v>
      </c>
      <c r="N475" s="197" t="s">
        <v>31</v>
      </c>
    </row>
    <row r="476" spans="2:14" ht="15.75" customHeight="1" x14ac:dyDescent="0.3">
      <c r="G476" s="277"/>
      <c r="H476" s="277"/>
      <c r="I476" s="198">
        <f>SUM(I453,I462)</f>
        <v>485040</v>
      </c>
      <c r="J476" s="198">
        <f t="shared" ref="J476:N476" si="0">SUM(J453,J462)</f>
        <v>388124.99999999994</v>
      </c>
      <c r="K476" s="198">
        <f t="shared" si="0"/>
        <v>96915.000000000058</v>
      </c>
      <c r="L476" s="198">
        <f t="shared" si="0"/>
        <v>0.43440747154873843</v>
      </c>
      <c r="M476" s="198">
        <f t="shared" si="0"/>
        <v>40420</v>
      </c>
      <c r="N476" s="198">
        <f t="shared" si="0"/>
        <v>8076.2500000000055</v>
      </c>
    </row>
    <row r="477" spans="2:14" ht="15.75" customHeight="1" x14ac:dyDescent="0.3"/>
    <row r="478" spans="2:14" ht="15.75" customHeight="1" x14ac:dyDescent="0.3"/>
    <row r="479" spans="2:14" ht="15.75" customHeight="1" x14ac:dyDescent="0.3"/>
    <row r="480" spans="2:14" ht="15.75" customHeight="1" x14ac:dyDescent="0.3"/>
    <row r="481" spans="2:14" ht="15.75" customHeight="1" x14ac:dyDescent="0.45">
      <c r="B481" s="76"/>
    </row>
    <row r="482" spans="2:14" ht="15.75" customHeight="1" x14ac:dyDescent="0.3"/>
    <row r="483" spans="2:14" ht="21" x14ac:dyDescent="0.4">
      <c r="B483" s="49" t="s">
        <v>137</v>
      </c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1"/>
    </row>
    <row r="484" spans="2:14" ht="43.2" x14ac:dyDescent="0.3">
      <c r="B484" s="33" t="s">
        <v>1</v>
      </c>
      <c r="C484" s="34" t="s">
        <v>3</v>
      </c>
      <c r="D484" s="34" t="s">
        <v>2</v>
      </c>
      <c r="E484" s="34" t="s">
        <v>4</v>
      </c>
      <c r="F484" s="34" t="s">
        <v>6</v>
      </c>
      <c r="G484" s="34" t="s">
        <v>5</v>
      </c>
      <c r="H484" s="34"/>
      <c r="I484" s="34" t="s">
        <v>19</v>
      </c>
      <c r="J484" s="34" t="s">
        <v>20</v>
      </c>
      <c r="K484" s="34" t="s">
        <v>21</v>
      </c>
      <c r="L484" s="35" t="s">
        <v>22</v>
      </c>
      <c r="M484" s="34" t="s">
        <v>23</v>
      </c>
      <c r="N484" s="36" t="s">
        <v>24</v>
      </c>
    </row>
    <row r="485" spans="2:14" ht="14.4" x14ac:dyDescent="0.3">
      <c r="B485" s="55">
        <v>0.13</v>
      </c>
      <c r="C485" s="59">
        <v>0</v>
      </c>
      <c r="D485" s="53">
        <v>0.12</v>
      </c>
      <c r="E485" s="53">
        <v>0.1</v>
      </c>
      <c r="F485" s="53">
        <v>0.25</v>
      </c>
      <c r="G485" s="54">
        <v>1880</v>
      </c>
      <c r="H485" s="116"/>
      <c r="I485" s="117">
        <v>172</v>
      </c>
      <c r="J485" s="118">
        <f>F488</f>
        <v>129.25531914893617</v>
      </c>
      <c r="K485" s="118">
        <f>I485 - J485</f>
        <v>42.744680851063833</v>
      </c>
      <c r="L485" s="118">
        <f>1000 / (G485 / 12)</f>
        <v>6.3829787234042561</v>
      </c>
      <c r="M485" s="115" t="s">
        <v>32</v>
      </c>
      <c r="N485" s="119">
        <f>_xlfn.IFS(M485 = "Yes",K485 - L485,M485 = "No",K485)</f>
        <v>42.744680851063833</v>
      </c>
    </row>
    <row r="486" spans="2:14" ht="14.4" x14ac:dyDescent="0.3">
      <c r="B486" s="120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2"/>
    </row>
    <row r="487" spans="2:14" ht="43.2" x14ac:dyDescent="0.3">
      <c r="B487" s="123" t="s">
        <v>84</v>
      </c>
      <c r="C487" s="124" t="s">
        <v>11</v>
      </c>
      <c r="D487" s="124" t="s">
        <v>12</v>
      </c>
      <c r="E487" s="124" t="s">
        <v>13</v>
      </c>
      <c r="F487" s="124" t="s">
        <v>14</v>
      </c>
      <c r="G487" s="124" t="s">
        <v>15</v>
      </c>
      <c r="H487" s="124"/>
      <c r="I487" s="124" t="s">
        <v>26</v>
      </c>
      <c r="J487" s="124" t="s">
        <v>27</v>
      </c>
      <c r="K487" s="124" t="s">
        <v>28</v>
      </c>
      <c r="L487" s="125" t="s">
        <v>29</v>
      </c>
      <c r="M487" s="124" t="s">
        <v>30</v>
      </c>
      <c r="N487" s="126" t="s">
        <v>31</v>
      </c>
    </row>
    <row r="488" spans="2:14" ht="14.4" x14ac:dyDescent="0.3">
      <c r="B488" s="52">
        <v>180000</v>
      </c>
      <c r="C488" s="45">
        <f>B488 / $G485</f>
        <v>95.744680851063833</v>
      </c>
      <c r="D488" s="45">
        <f>SUM($B485,$C485,$D485,$E485)</f>
        <v>0.35</v>
      </c>
      <c r="E488" s="45">
        <f>(B488 * D488) / $G485</f>
        <v>33.510638297872333</v>
      </c>
      <c r="F488" s="45">
        <f>C488 + E488</f>
        <v>129.25531914893617</v>
      </c>
      <c r="G488" s="45">
        <f>F488 * (1+$F485)</f>
        <v>161.56914893617022</v>
      </c>
      <c r="H488" s="127"/>
      <c r="I488" s="45">
        <f>G485 * I485</f>
        <v>323360</v>
      </c>
      <c r="J488" s="45">
        <f>_xlfn.IFS(M485 = "Yes",G485 * (J485 + L485),M485 &lt;&gt; "Yes",G485 * (J485))</f>
        <v>243000</v>
      </c>
      <c r="K488" s="45">
        <f>I488 - J488</f>
        <v>80360</v>
      </c>
      <c r="L488" s="46">
        <f>K488 / I488</f>
        <v>0.24851558634339435</v>
      </c>
      <c r="M488" s="45">
        <f>I488 / 12</f>
        <v>26946.666666666668</v>
      </c>
      <c r="N488" s="47">
        <f>K488 / 12</f>
        <v>6696.666666666667</v>
      </c>
    </row>
    <row r="489" spans="2:14" ht="14.4" x14ac:dyDescent="0.3"/>
    <row r="490" spans="2:14" ht="14.4" x14ac:dyDescent="0.3"/>
    <row r="491" spans="2:14" ht="14.4" x14ac:dyDescent="0.3"/>
    <row r="492" spans="2:14" ht="21" x14ac:dyDescent="0.4">
      <c r="B492" s="49" t="s">
        <v>137</v>
      </c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1"/>
    </row>
    <row r="493" spans="2:14" ht="43.2" x14ac:dyDescent="0.3">
      <c r="B493" s="33" t="s">
        <v>1</v>
      </c>
      <c r="C493" s="34" t="s">
        <v>3</v>
      </c>
      <c r="D493" s="34" t="s">
        <v>2</v>
      </c>
      <c r="E493" s="34" t="s">
        <v>4</v>
      </c>
      <c r="F493" s="34" t="s">
        <v>6</v>
      </c>
      <c r="G493" s="34" t="s">
        <v>5</v>
      </c>
      <c r="H493" s="34"/>
      <c r="I493" s="34" t="s">
        <v>19</v>
      </c>
      <c r="J493" s="34" t="s">
        <v>20</v>
      </c>
      <c r="K493" s="34" t="s">
        <v>21</v>
      </c>
      <c r="L493" s="35" t="s">
        <v>22</v>
      </c>
      <c r="M493" s="34" t="s">
        <v>23</v>
      </c>
      <c r="N493" s="36" t="s">
        <v>24</v>
      </c>
    </row>
    <row r="494" spans="2:14" ht="14.4" x14ac:dyDescent="0.3">
      <c r="B494" s="55">
        <v>0.13</v>
      </c>
      <c r="C494" s="59">
        <v>0</v>
      </c>
      <c r="D494" s="53">
        <v>0.12</v>
      </c>
      <c r="E494" s="53">
        <v>0.1</v>
      </c>
      <c r="F494" s="53">
        <v>0.25</v>
      </c>
      <c r="G494" s="54">
        <v>1880</v>
      </c>
      <c r="H494" s="116"/>
      <c r="I494" s="117">
        <v>172</v>
      </c>
      <c r="J494" s="118">
        <f>F497</f>
        <v>143.61702127659572</v>
      </c>
      <c r="K494" s="118">
        <f>I494 - J494</f>
        <v>28.382978723404278</v>
      </c>
      <c r="L494" s="118">
        <f>1000 / (G494 / 12)</f>
        <v>6.3829787234042561</v>
      </c>
      <c r="M494" s="115" t="s">
        <v>32</v>
      </c>
      <c r="N494" s="119">
        <f>_xlfn.IFS(M494 = "Yes",K494 - L494,M494 = "No",K494)</f>
        <v>28.382978723404278</v>
      </c>
    </row>
    <row r="495" spans="2:14" ht="14.4" x14ac:dyDescent="0.3">
      <c r="B495" s="120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2"/>
    </row>
    <row r="496" spans="2:14" ht="43.2" x14ac:dyDescent="0.3">
      <c r="B496" s="123" t="s">
        <v>84</v>
      </c>
      <c r="C496" s="124" t="s">
        <v>11</v>
      </c>
      <c r="D496" s="124" t="s">
        <v>12</v>
      </c>
      <c r="E496" s="124" t="s">
        <v>13</v>
      </c>
      <c r="F496" s="124" t="s">
        <v>14</v>
      </c>
      <c r="G496" s="124" t="s">
        <v>15</v>
      </c>
      <c r="H496" s="124"/>
      <c r="I496" s="124" t="s">
        <v>26</v>
      </c>
      <c r="J496" s="124" t="s">
        <v>27</v>
      </c>
      <c r="K496" s="124" t="s">
        <v>28</v>
      </c>
      <c r="L496" s="125" t="s">
        <v>29</v>
      </c>
      <c r="M496" s="124" t="s">
        <v>30</v>
      </c>
      <c r="N496" s="126" t="s">
        <v>31</v>
      </c>
    </row>
    <row r="497" spans="2:14" ht="14.4" x14ac:dyDescent="0.3">
      <c r="B497" s="52">
        <v>200000</v>
      </c>
      <c r="C497" s="45">
        <f>B497 / $G494</f>
        <v>106.38297872340425</v>
      </c>
      <c r="D497" s="45">
        <f>SUM($B494,$C494,$D494,$E494)</f>
        <v>0.35</v>
      </c>
      <c r="E497" s="45">
        <f>(B497 * D497) / $G494</f>
        <v>37.234042553191486</v>
      </c>
      <c r="F497" s="45">
        <f>C497 + E497</f>
        <v>143.61702127659572</v>
      </c>
      <c r="G497" s="45">
        <f>F497 * (1+$F494)</f>
        <v>179.52127659574467</v>
      </c>
      <c r="H497" s="127"/>
      <c r="I497" s="45">
        <f>G494 * I494</f>
        <v>323360</v>
      </c>
      <c r="J497" s="45">
        <f>_xlfn.IFS(M494 = "Yes",G494 * (J494 + L494),M494 &lt;&gt; "Yes",G494 * (J494))</f>
        <v>269999.99999999994</v>
      </c>
      <c r="K497" s="45">
        <f>I497 - J497</f>
        <v>53360.000000000058</v>
      </c>
      <c r="L497" s="46">
        <f>K497 / I497</f>
        <v>0.16501731815932724</v>
      </c>
      <c r="M497" s="45">
        <f>I497 / 12</f>
        <v>26946.666666666668</v>
      </c>
      <c r="N497" s="47">
        <f>K497 / 12</f>
        <v>4446.6666666666715</v>
      </c>
    </row>
    <row r="498" spans="2:14" ht="15.75" customHeight="1" x14ac:dyDescent="0.3"/>
    <row r="499" spans="2:14" ht="15.75" customHeight="1" x14ac:dyDescent="0.3"/>
    <row r="500" spans="2:14" ht="15.75" customHeight="1" x14ac:dyDescent="0.3"/>
    <row r="501" spans="2:14" ht="15.75" customHeight="1" x14ac:dyDescent="0.3"/>
    <row r="502" spans="2:14" ht="15.75" customHeight="1" x14ac:dyDescent="0.3"/>
    <row r="503" spans="2:14" ht="15.75" customHeight="1" x14ac:dyDescent="0.3"/>
    <row r="504" spans="2:14" ht="15.75" customHeight="1" x14ac:dyDescent="0.3"/>
    <row r="505" spans="2:14" ht="15.75" customHeight="1" x14ac:dyDescent="0.3"/>
    <row r="506" spans="2:14" ht="15.75" customHeight="1" x14ac:dyDescent="0.3"/>
    <row r="507" spans="2:14" ht="15.75" customHeight="1" x14ac:dyDescent="0.3"/>
    <row r="508" spans="2:14" ht="15.75" customHeight="1" x14ac:dyDescent="0.3"/>
    <row r="509" spans="2:14" ht="15.75" customHeight="1" x14ac:dyDescent="0.3"/>
    <row r="510" spans="2:14" ht="15.75" customHeight="1" x14ac:dyDescent="0.3"/>
    <row r="511" spans="2:14" ht="15.75" customHeight="1" x14ac:dyDescent="0.3"/>
    <row r="512" spans="2:14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</sheetData>
  <mergeCells count="16">
    <mergeCell ref="G475:H476"/>
    <mergeCell ref="B204:G204"/>
    <mergeCell ref="B190:G190"/>
    <mergeCell ref="B197:G197"/>
    <mergeCell ref="B183:G183"/>
    <mergeCell ref="B244:G244"/>
    <mergeCell ref="B236:G236"/>
    <mergeCell ref="B228:G228"/>
    <mergeCell ref="B220:G220"/>
    <mergeCell ref="B212:G212"/>
    <mergeCell ref="B176:G176"/>
    <mergeCell ref="B108:J108"/>
    <mergeCell ref="B115:J115"/>
    <mergeCell ref="B122:G122"/>
    <mergeCell ref="B129:G129"/>
    <mergeCell ref="B167:G167"/>
  </mergeCells>
  <pageMargins left="0.7" right="0.7" top="0.75" bottom="0.75" header="0" footer="0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7611-2E04-420F-84D3-A054EB53C0D5}">
  <dimension ref="B4:N33"/>
  <sheetViews>
    <sheetView workbookViewId="0">
      <selection activeCell="G3" sqref="G3"/>
    </sheetView>
  </sheetViews>
  <sheetFormatPr defaultRowHeight="14.4" x14ac:dyDescent="0.3"/>
  <cols>
    <col min="2" max="7" width="16" customWidth="1"/>
    <col min="8" max="8" width="4.33203125" customWidth="1"/>
    <col min="9" max="14" width="16" customWidth="1"/>
  </cols>
  <sheetData>
    <row r="4" spans="2:14" ht="21" x14ac:dyDescent="0.4">
      <c r="B4" s="49" t="s">
        <v>144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1"/>
    </row>
    <row r="5" spans="2:14" ht="43.2" x14ac:dyDescent="0.3">
      <c r="B5" s="33" t="s">
        <v>1</v>
      </c>
      <c r="C5" s="34" t="s">
        <v>3</v>
      </c>
      <c r="D5" s="34" t="s">
        <v>2</v>
      </c>
      <c r="E5" s="34" t="s">
        <v>4</v>
      </c>
      <c r="F5" s="34" t="s">
        <v>6</v>
      </c>
      <c r="G5" s="34" t="s">
        <v>5</v>
      </c>
      <c r="H5" s="34"/>
      <c r="I5" s="34" t="s">
        <v>19</v>
      </c>
      <c r="J5" s="34" t="s">
        <v>20</v>
      </c>
      <c r="K5" s="34" t="s">
        <v>21</v>
      </c>
      <c r="L5" s="35" t="s">
        <v>22</v>
      </c>
      <c r="M5" s="34" t="s">
        <v>23</v>
      </c>
      <c r="N5" s="36" t="s">
        <v>24</v>
      </c>
    </row>
    <row r="6" spans="2:14" x14ac:dyDescent="0.3">
      <c r="B6" s="55">
        <v>0.03</v>
      </c>
      <c r="C6" s="59">
        <v>0.1</v>
      </c>
      <c r="D6" s="53">
        <v>0.12</v>
      </c>
      <c r="E6" s="53">
        <v>0.1</v>
      </c>
      <c r="F6" s="53">
        <v>0.25</v>
      </c>
      <c r="G6" s="54">
        <v>463</v>
      </c>
      <c r="H6" s="116"/>
      <c r="I6" s="117">
        <v>125</v>
      </c>
      <c r="J6" s="118">
        <f>F9</f>
        <v>116.47090150596171</v>
      </c>
      <c r="K6" s="118">
        <f>I6 - J6</f>
        <v>8.5290984940382941</v>
      </c>
      <c r="L6" s="118">
        <f>1000 / (G6 / 12)</f>
        <v>25.91792656587473</v>
      </c>
      <c r="M6" s="115" t="s">
        <v>32</v>
      </c>
      <c r="N6" s="119">
        <f>_xlfn.IFS(M6 = "Yes",K6 - L6,M6 = "No",K6)</f>
        <v>8.5290984940382941</v>
      </c>
    </row>
    <row r="7" spans="2:14" x14ac:dyDescent="0.3">
      <c r="B7" s="120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2"/>
    </row>
    <row r="8" spans="2:14" ht="43.2" x14ac:dyDescent="0.3">
      <c r="B8" s="123" t="s">
        <v>84</v>
      </c>
      <c r="C8" s="124" t="s">
        <v>11</v>
      </c>
      <c r="D8" s="124" t="s">
        <v>12</v>
      </c>
      <c r="E8" s="124" t="s">
        <v>13</v>
      </c>
      <c r="F8" s="124" t="s">
        <v>14</v>
      </c>
      <c r="G8" s="124" t="s">
        <v>15</v>
      </c>
      <c r="H8" s="124"/>
      <c r="I8" s="124" t="s">
        <v>26</v>
      </c>
      <c r="J8" s="124" t="s">
        <v>27</v>
      </c>
      <c r="K8" s="124" t="s">
        <v>28</v>
      </c>
      <c r="L8" s="125" t="s">
        <v>29</v>
      </c>
      <c r="M8" s="124" t="s">
        <v>30</v>
      </c>
      <c r="N8" s="126" t="s">
        <v>31</v>
      </c>
    </row>
    <row r="9" spans="2:14" x14ac:dyDescent="0.3">
      <c r="B9" s="52">
        <f>180000*(90/365)*0.9</f>
        <v>39945.205479452052</v>
      </c>
      <c r="C9" s="45">
        <f>B9 / $G6</f>
        <v>86.274741856267937</v>
      </c>
      <c r="D9" s="43">
        <f>SUM($B6,$C6,$D6,$E6)</f>
        <v>0.35</v>
      </c>
      <c r="E9" s="45">
        <f>(B9 * D9) / $G6</f>
        <v>30.196159649693776</v>
      </c>
      <c r="F9" s="45">
        <f>C9 + E9</f>
        <v>116.47090150596171</v>
      </c>
      <c r="G9" s="45">
        <f>F9 * (1+$F6)</f>
        <v>145.58862688245213</v>
      </c>
      <c r="H9" s="127"/>
      <c r="I9" s="45">
        <f>G6 * I6</f>
        <v>57875</v>
      </c>
      <c r="J9" s="45">
        <f>_xlfn.IFS(M6 = "Yes",G6 * (J6 + L6),M6 &lt;&gt; "Yes",G6 * (J6))</f>
        <v>53926.027397260266</v>
      </c>
      <c r="K9" s="45">
        <f>I9 - J9</f>
        <v>3948.9726027397337</v>
      </c>
      <c r="L9" s="46">
        <f>K9 / I9</f>
        <v>6.8232787952306417E-2</v>
      </c>
      <c r="M9" s="45">
        <f>I9 / 3</f>
        <v>19291.666666666668</v>
      </c>
      <c r="N9" s="47">
        <f>K9 / 3</f>
        <v>1316.3242009132446</v>
      </c>
    </row>
    <row r="10" spans="2:14" ht="52.5" customHeight="1" x14ac:dyDescent="0.3">
      <c r="B10" s="278" t="s">
        <v>145</v>
      </c>
      <c r="C10" s="278"/>
      <c r="D10" s="278"/>
    </row>
    <row r="12" spans="2:14" ht="42" x14ac:dyDescent="0.4">
      <c r="B12" s="242" t="s">
        <v>146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1"/>
    </row>
    <row r="13" spans="2:14" ht="43.2" x14ac:dyDescent="0.3">
      <c r="B13" s="33" t="s">
        <v>1</v>
      </c>
      <c r="C13" s="34" t="s">
        <v>3</v>
      </c>
      <c r="D13" s="34" t="s">
        <v>2</v>
      </c>
      <c r="E13" s="34" t="s">
        <v>4</v>
      </c>
      <c r="F13" s="34" t="s">
        <v>6</v>
      </c>
      <c r="G13" s="34" t="s">
        <v>5</v>
      </c>
      <c r="H13" s="34"/>
      <c r="I13" s="34" t="s">
        <v>19</v>
      </c>
      <c r="J13" s="34" t="s">
        <v>20</v>
      </c>
      <c r="K13" s="34" t="s">
        <v>21</v>
      </c>
      <c r="L13" s="35" t="s">
        <v>22</v>
      </c>
      <c r="M13" s="34" t="s">
        <v>23</v>
      </c>
      <c r="N13" s="36" t="s">
        <v>24</v>
      </c>
    </row>
    <row r="14" spans="2:14" x14ac:dyDescent="0.3">
      <c r="B14" s="55">
        <v>0</v>
      </c>
      <c r="C14" s="53">
        <v>0</v>
      </c>
      <c r="D14" s="53">
        <v>0</v>
      </c>
      <c r="E14" s="53">
        <v>0.05</v>
      </c>
      <c r="F14" s="53">
        <v>0.25</v>
      </c>
      <c r="G14" s="140">
        <v>463</v>
      </c>
      <c r="H14" s="121"/>
      <c r="I14" s="56">
        <v>125</v>
      </c>
      <c r="J14" s="29">
        <f>F17</f>
        <v>78.75</v>
      </c>
      <c r="K14" s="29">
        <f>I14 - J14</f>
        <v>46.25</v>
      </c>
      <c r="L14" s="29">
        <f>1000 / (G14 / 12)</f>
        <v>25.91792656587473</v>
      </c>
      <c r="M14" s="115" t="s">
        <v>32</v>
      </c>
      <c r="N14" s="119">
        <f>_xlfn.IFS(M14 = "Yes",K14 - L14,M14 = "No",K14)</f>
        <v>46.25</v>
      </c>
    </row>
    <row r="15" spans="2:14" x14ac:dyDescent="0.3">
      <c r="B15" s="120"/>
      <c r="C15" s="121"/>
      <c r="D15" s="121"/>
      <c r="E15" s="121"/>
      <c r="F15" s="121"/>
      <c r="G15" s="121"/>
      <c r="H15" s="63"/>
      <c r="I15" s="121"/>
      <c r="J15" s="121"/>
      <c r="K15" s="121"/>
      <c r="L15" s="121"/>
      <c r="M15" s="121"/>
      <c r="N15" s="122"/>
    </row>
    <row r="16" spans="2:14" ht="43.2" x14ac:dyDescent="0.3">
      <c r="B16" s="123" t="s">
        <v>84</v>
      </c>
      <c r="C16" s="124" t="s">
        <v>11</v>
      </c>
      <c r="D16" s="124" t="s">
        <v>12</v>
      </c>
      <c r="E16" s="124" t="s">
        <v>13</v>
      </c>
      <c r="F16" s="124" t="s">
        <v>14</v>
      </c>
      <c r="G16" s="124" t="s">
        <v>15</v>
      </c>
      <c r="H16" s="124"/>
      <c r="I16" s="124" t="s">
        <v>26</v>
      </c>
      <c r="J16" s="124" t="s">
        <v>27</v>
      </c>
      <c r="K16" s="124" t="s">
        <v>28</v>
      </c>
      <c r="L16" s="125" t="s">
        <v>29</v>
      </c>
      <c r="M16" s="124" t="s">
        <v>30</v>
      </c>
      <c r="N16" s="126" t="s">
        <v>31</v>
      </c>
    </row>
    <row r="17" spans="2:14" x14ac:dyDescent="0.3">
      <c r="B17" s="52">
        <f>75*G14</f>
        <v>34725</v>
      </c>
      <c r="C17" s="42">
        <f>B17 / G14</f>
        <v>75</v>
      </c>
      <c r="D17" s="43">
        <f>SUM($B14,$C14,$D14,$E14)</f>
        <v>0.05</v>
      </c>
      <c r="E17" s="42">
        <f>(B17 * D17) / $G14</f>
        <v>3.75</v>
      </c>
      <c r="F17" s="42">
        <f>C17 + E17</f>
        <v>78.75</v>
      </c>
      <c r="G17" s="42">
        <f>F17 * (1+$F14)</f>
        <v>98.4375</v>
      </c>
      <c r="H17" s="127"/>
      <c r="I17" s="42">
        <f>G14 * I14</f>
        <v>57875</v>
      </c>
      <c r="J17" s="42">
        <f>_xlfn.IFS(M14 = "Yes",G14 * (J14 + L14),M14 &lt;&gt; "Yes",G14 * (J14))</f>
        <v>36461.25</v>
      </c>
      <c r="K17" s="42">
        <f>I17 - J17</f>
        <v>21413.75</v>
      </c>
      <c r="L17" s="46">
        <f>K17 / I17</f>
        <v>0.37</v>
      </c>
      <c r="M17" s="42">
        <f>I17 / 3</f>
        <v>19291.666666666668</v>
      </c>
      <c r="N17" s="42">
        <f>K17 / 3</f>
        <v>7137.916666666667</v>
      </c>
    </row>
    <row r="18" spans="2:14" x14ac:dyDescent="0.3">
      <c r="I18" s="64"/>
      <c r="J18" s="64"/>
      <c r="K18" s="64"/>
      <c r="L18" s="46"/>
    </row>
    <row r="19" spans="2:14" x14ac:dyDescent="0.3">
      <c r="I19" s="156" t="s">
        <v>147</v>
      </c>
    </row>
    <row r="20" spans="2:14" ht="28.8" x14ac:dyDescent="0.3">
      <c r="I20" s="246" t="s">
        <v>26</v>
      </c>
      <c r="J20" s="247" t="s">
        <v>27</v>
      </c>
      <c r="K20" s="247" t="s">
        <v>28</v>
      </c>
      <c r="L20" s="248" t="s">
        <v>29</v>
      </c>
      <c r="M20" s="247" t="s">
        <v>30</v>
      </c>
      <c r="N20" s="249" t="s">
        <v>31</v>
      </c>
    </row>
    <row r="21" spans="2:14" x14ac:dyDescent="0.3">
      <c r="I21" s="250">
        <f>SUM(I9,I17)</f>
        <v>115750</v>
      </c>
      <c r="J21" s="251">
        <f>SUM(J9,J17)</f>
        <v>90387.277397260274</v>
      </c>
      <c r="K21" s="251">
        <f>SUM(K9,K17)</f>
        <v>25362.722602739734</v>
      </c>
      <c r="L21" s="252">
        <f>K21/I21</f>
        <v>0.21911639397615321</v>
      </c>
      <c r="M21" s="251">
        <f>SUM(M9,M17)</f>
        <v>38583.333333333336</v>
      </c>
      <c r="N21" s="253">
        <f>SUM(N9,N17)</f>
        <v>8454.2408675799124</v>
      </c>
    </row>
    <row r="22" spans="2:14" x14ac:dyDescent="0.3">
      <c r="I22" s="243"/>
      <c r="J22" s="243"/>
      <c r="K22" s="243"/>
      <c r="L22" s="244"/>
      <c r="M22" s="243"/>
      <c r="N22" s="243"/>
    </row>
    <row r="24" spans="2:14" ht="43.2" x14ac:dyDescent="0.3">
      <c r="B24" s="18" t="s">
        <v>1</v>
      </c>
      <c r="C24" s="18" t="s">
        <v>3</v>
      </c>
      <c r="D24" s="18" t="s">
        <v>2</v>
      </c>
      <c r="E24" s="18" t="s">
        <v>4</v>
      </c>
      <c r="F24" s="18" t="s">
        <v>6</v>
      </c>
      <c r="G24" s="18" t="s">
        <v>5</v>
      </c>
      <c r="I24" s="18" t="s">
        <v>19</v>
      </c>
      <c r="J24" s="18" t="s">
        <v>20</v>
      </c>
      <c r="K24" s="18" t="s">
        <v>21</v>
      </c>
      <c r="L24" s="18" t="s">
        <v>22</v>
      </c>
      <c r="M24" s="18" t="s">
        <v>23</v>
      </c>
      <c r="N24" s="18" t="s">
        <v>24</v>
      </c>
    </row>
    <row r="25" spans="2:14" x14ac:dyDescent="0.3">
      <c r="B25" s="4">
        <v>0.13</v>
      </c>
      <c r="C25" s="4">
        <v>0.1</v>
      </c>
      <c r="D25" s="4">
        <v>0.12</v>
      </c>
      <c r="E25" s="4">
        <v>0.1</v>
      </c>
      <c r="F25" s="4">
        <v>0.25</v>
      </c>
      <c r="G25" s="7">
        <v>463</v>
      </c>
      <c r="I25" s="19">
        <v>120</v>
      </c>
      <c r="J25" s="57">
        <f>F28</f>
        <v>96.526524453386187</v>
      </c>
      <c r="K25" s="20">
        <f>I25 - J25</f>
        <v>23.473475546613813</v>
      </c>
      <c r="L25" s="20">
        <f>1000 / (G25 / 12)</f>
        <v>25.91792656587473</v>
      </c>
      <c r="M25" s="21" t="s">
        <v>105</v>
      </c>
      <c r="N25" s="20" cm="1">
        <f t="array" ref="N25">_xlfn.IFS(M25 = "Yes",K25 - L25,M25 = "No",K25)</f>
        <v>23.473475546613813</v>
      </c>
    </row>
    <row r="27" spans="2:14" ht="28.8" x14ac:dyDescent="0.3">
      <c r="B27" s="18" t="s">
        <v>10</v>
      </c>
      <c r="C27" s="18" t="s">
        <v>11</v>
      </c>
      <c r="D27" s="18" t="s">
        <v>12</v>
      </c>
      <c r="E27" s="18" t="s">
        <v>13</v>
      </c>
      <c r="F27" s="18" t="s">
        <v>14</v>
      </c>
      <c r="G27" s="18" t="s">
        <v>15</v>
      </c>
      <c r="H27" s="6"/>
      <c r="I27" s="18" t="s">
        <v>26</v>
      </c>
      <c r="J27" s="18" t="s">
        <v>27</v>
      </c>
      <c r="K27" s="18" t="s">
        <v>28</v>
      </c>
      <c r="L27" s="22" t="s">
        <v>29</v>
      </c>
      <c r="M27" s="18" t="s">
        <v>30</v>
      </c>
      <c r="N27" s="18" t="s">
        <v>31</v>
      </c>
    </row>
    <row r="28" spans="2:14" x14ac:dyDescent="0.3">
      <c r="B28" s="23">
        <f>125000*(90/365)</f>
        <v>30821.917808219176</v>
      </c>
      <c r="C28" s="20">
        <f>B28 / $G25</f>
        <v>66.570016864404266</v>
      </c>
      <c r="D28" s="3">
        <f>SUM($B25,$C25,$D25,$E25)</f>
        <v>0.44999999999999996</v>
      </c>
      <c r="E28" s="20">
        <f>(B28 * D28) / $G25</f>
        <v>29.956507588981918</v>
      </c>
      <c r="F28" s="20">
        <f>C28 + E28</f>
        <v>96.526524453386187</v>
      </c>
      <c r="G28" s="24">
        <f>F28 * (1+$F25)</f>
        <v>120.65815556673273</v>
      </c>
      <c r="H28" s="25"/>
      <c r="I28" s="16">
        <f>G25 * I25</f>
        <v>55560</v>
      </c>
      <c r="J28" s="16" cm="1">
        <f t="array" ref="J28">_xlfn.IFS(M25 = "Yes",G25 * (J25 + L25),M25 &lt;&gt; "Yes",G25 * (J25))</f>
        <v>44691.780821917804</v>
      </c>
      <c r="K28" s="16">
        <f>I28 - J28</f>
        <v>10868.219178082196</v>
      </c>
      <c r="L28" s="26">
        <f>K28 / J28</f>
        <v>0.24318160919540241</v>
      </c>
      <c r="M28" s="16">
        <f>I28 / 3</f>
        <v>18520</v>
      </c>
      <c r="N28" s="16">
        <f>K28 / 3</f>
        <v>3622.7397260273988</v>
      </c>
    </row>
    <row r="29" spans="2:14" x14ac:dyDescent="0.3">
      <c r="I29" s="73"/>
      <c r="J29" s="73"/>
      <c r="K29" s="73"/>
      <c r="L29" s="245"/>
    </row>
    <row r="31" spans="2:14" x14ac:dyDescent="0.3">
      <c r="I31" s="156" t="s">
        <v>148</v>
      </c>
    </row>
    <row r="32" spans="2:14" ht="28.8" x14ac:dyDescent="0.3">
      <c r="I32" s="246" t="s">
        <v>26</v>
      </c>
      <c r="J32" s="247" t="s">
        <v>27</v>
      </c>
      <c r="K32" s="247" t="s">
        <v>28</v>
      </c>
      <c r="L32" s="248" t="s">
        <v>29</v>
      </c>
      <c r="M32" s="247" t="s">
        <v>30</v>
      </c>
      <c r="N32" s="249" t="s">
        <v>31</v>
      </c>
    </row>
    <row r="33" spans="9:14" x14ac:dyDescent="0.3">
      <c r="I33" s="250">
        <f>SUM(I9,I28)</f>
        <v>113435</v>
      </c>
      <c r="J33" s="251">
        <f>SUM(J9,J28)</f>
        <v>98617.80821917807</v>
      </c>
      <c r="K33" s="251">
        <f>SUM(K9,K28)</f>
        <v>14817.19178082193</v>
      </c>
      <c r="L33" s="254">
        <f>K33 / I33</f>
        <v>0.13062275118633518</v>
      </c>
      <c r="M33" s="251">
        <f>SUM(M9,M28)</f>
        <v>37811.666666666672</v>
      </c>
      <c r="N33" s="253">
        <f>SUM(N9,N28)</f>
        <v>4939.0639269406438</v>
      </c>
    </row>
  </sheetData>
  <mergeCells count="1">
    <mergeCell ref="B10:D10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D4FB-FA37-4C10-A7B7-23354E5B9308}">
  <dimension ref="A1:K21"/>
  <sheetViews>
    <sheetView workbookViewId="0">
      <selection activeCell="H23" sqref="H23:I23"/>
    </sheetView>
  </sheetViews>
  <sheetFormatPr defaultRowHeight="14.4" x14ac:dyDescent="0.3"/>
  <cols>
    <col min="1" max="1" width="17.109375" customWidth="1"/>
    <col min="2" max="2" width="12" hidden="1" customWidth="1"/>
    <col min="3" max="3" width="14.88671875" customWidth="1"/>
    <col min="4" max="6" width="16.109375" customWidth="1"/>
    <col min="7" max="7" width="17" customWidth="1"/>
    <col min="8" max="8" width="16.88671875" customWidth="1"/>
    <col min="9" max="9" width="16.44140625" customWidth="1"/>
    <col min="10" max="10" width="19.109375" customWidth="1"/>
    <col min="11" max="11" width="12.33203125" customWidth="1"/>
  </cols>
  <sheetData>
    <row r="1" spans="1:11" ht="30" customHeight="1" x14ac:dyDescent="0.45">
      <c r="A1" s="76" t="s">
        <v>149</v>
      </c>
    </row>
    <row r="2" spans="1:11" x14ac:dyDescent="0.3">
      <c r="A2" s="200" t="s">
        <v>150</v>
      </c>
      <c r="B2" s="200" t="s">
        <v>151</v>
      </c>
      <c r="C2" s="200" t="s">
        <v>152</v>
      </c>
      <c r="D2" s="200" t="s">
        <v>153</v>
      </c>
      <c r="E2" s="200" t="s">
        <v>154</v>
      </c>
      <c r="F2" s="200" t="s">
        <v>155</v>
      </c>
      <c r="G2" s="200" t="s">
        <v>44</v>
      </c>
      <c r="H2" s="200" t="s">
        <v>156</v>
      </c>
      <c r="I2" s="200" t="s">
        <v>157</v>
      </c>
      <c r="J2" s="200" t="s">
        <v>158</v>
      </c>
      <c r="K2" s="200" t="s">
        <v>159</v>
      </c>
    </row>
    <row r="3" spans="1:11" x14ac:dyDescent="0.3">
      <c r="A3" t="s">
        <v>137</v>
      </c>
      <c r="B3" s="62">
        <v>1</v>
      </c>
      <c r="C3" s="201">
        <v>1880</v>
      </c>
      <c r="D3" s="201">
        <v>1700</v>
      </c>
      <c r="E3" s="89">
        <v>172</v>
      </c>
      <c r="F3" s="89">
        <v>144</v>
      </c>
      <c r="G3" s="89">
        <f>B3 * C3 * E3</f>
        <v>323360</v>
      </c>
      <c r="H3" s="89">
        <f>B3 * D3 * F3</f>
        <v>244800</v>
      </c>
      <c r="I3" s="89">
        <f>G3 - H3</f>
        <v>78560</v>
      </c>
      <c r="J3" s="89">
        <f>I3 / 12</f>
        <v>6546.666666666667</v>
      </c>
      <c r="K3" s="202">
        <f>I3 / G3</f>
        <v>0.2429490351311232</v>
      </c>
    </row>
    <row r="4" spans="1:11" x14ac:dyDescent="0.3">
      <c r="A4" t="s">
        <v>138</v>
      </c>
      <c r="B4" s="62">
        <v>1</v>
      </c>
      <c r="C4" s="201">
        <v>1880</v>
      </c>
      <c r="D4" s="201">
        <v>1800</v>
      </c>
      <c r="E4" s="89">
        <v>172</v>
      </c>
      <c r="F4" s="89">
        <v>131</v>
      </c>
      <c r="G4" s="89">
        <f>B4 * C4 * E4</f>
        <v>323360</v>
      </c>
      <c r="H4" s="89">
        <f>B4 * D4 * F4</f>
        <v>235800</v>
      </c>
      <c r="I4" s="89">
        <f>G4 - H4</f>
        <v>87560</v>
      </c>
      <c r="J4" s="89">
        <f t="shared" ref="J4:J5" si="0">I4 / 12</f>
        <v>7296.666666666667</v>
      </c>
      <c r="K4" s="202">
        <f>I4 / G4</f>
        <v>0.27078179119247897</v>
      </c>
    </row>
    <row r="5" spans="1:11" x14ac:dyDescent="0.3">
      <c r="F5" s="203" t="s">
        <v>160</v>
      </c>
      <c r="G5" s="204">
        <f>SUM(G3:G4)</f>
        <v>646720</v>
      </c>
      <c r="H5" s="204">
        <f>SUM(H3:H4)</f>
        <v>480600</v>
      </c>
      <c r="I5" s="204">
        <f>SUM(I3:I4)</f>
        <v>166120</v>
      </c>
      <c r="J5" s="204">
        <f t="shared" si="0"/>
        <v>13843.333333333334</v>
      </c>
      <c r="K5" s="205">
        <f>I5 / G5</f>
        <v>0.25686541316180111</v>
      </c>
    </row>
    <row r="8" spans="1:11" ht="32.25" customHeight="1" x14ac:dyDescent="0.45">
      <c r="A8" s="76" t="s">
        <v>161</v>
      </c>
    </row>
    <row r="9" spans="1:11" x14ac:dyDescent="0.3">
      <c r="A9" s="200" t="s">
        <v>150</v>
      </c>
      <c r="B9" s="200" t="s">
        <v>151</v>
      </c>
      <c r="C9" s="200" t="s">
        <v>152</v>
      </c>
      <c r="D9" s="200" t="s">
        <v>153</v>
      </c>
      <c r="E9" s="200" t="s">
        <v>154</v>
      </c>
      <c r="F9" s="200" t="s">
        <v>155</v>
      </c>
      <c r="G9" s="200" t="s">
        <v>44</v>
      </c>
      <c r="H9" s="200" t="s">
        <v>156</v>
      </c>
      <c r="I9" s="200" t="s">
        <v>157</v>
      </c>
      <c r="J9" s="200" t="s">
        <v>158</v>
      </c>
      <c r="K9" s="200" t="s">
        <v>159</v>
      </c>
    </row>
    <row r="10" spans="1:11" x14ac:dyDescent="0.3">
      <c r="A10" t="s">
        <v>137</v>
      </c>
      <c r="B10" s="62">
        <v>1</v>
      </c>
      <c r="C10" s="208">
        <v>940</v>
      </c>
      <c r="D10" s="201">
        <v>1700</v>
      </c>
      <c r="E10" s="89">
        <v>172</v>
      </c>
      <c r="F10" s="89">
        <v>144</v>
      </c>
      <c r="G10" s="89">
        <f>B10 * C10 * E10</f>
        <v>161680</v>
      </c>
      <c r="H10" s="89">
        <f>B10 * D10 * F10</f>
        <v>244800</v>
      </c>
      <c r="I10" s="89">
        <f>G10 - H10</f>
        <v>-83120</v>
      </c>
      <c r="J10" s="89">
        <f>I10 / 12</f>
        <v>-6926.666666666667</v>
      </c>
      <c r="K10" s="202">
        <f>I10 / G10</f>
        <v>-0.51410192973775359</v>
      </c>
    </row>
    <row r="11" spans="1:11" x14ac:dyDescent="0.3">
      <c r="A11" t="s">
        <v>138</v>
      </c>
      <c r="B11" s="62">
        <v>1</v>
      </c>
      <c r="C11" s="208">
        <v>940</v>
      </c>
      <c r="D11" s="208">
        <v>900</v>
      </c>
      <c r="E11" s="89">
        <v>172</v>
      </c>
      <c r="F11" s="89">
        <v>131</v>
      </c>
      <c r="G11" s="89">
        <f>B11 * C11 * E11</f>
        <v>161680</v>
      </c>
      <c r="H11" s="89">
        <f>B11 * D11 * F11</f>
        <v>117900</v>
      </c>
      <c r="I11" s="89">
        <f>G11 - H11</f>
        <v>43780</v>
      </c>
      <c r="J11" s="89">
        <f>I11 / 12</f>
        <v>3648.3333333333335</v>
      </c>
      <c r="K11" s="202">
        <f>I11 / G11</f>
        <v>0.27078179119247897</v>
      </c>
    </row>
    <row r="12" spans="1:11" x14ac:dyDescent="0.3">
      <c r="A12" s="206" t="s">
        <v>144</v>
      </c>
      <c r="B12" s="207">
        <v>1</v>
      </c>
      <c r="C12" s="208">
        <v>1880</v>
      </c>
      <c r="D12" s="208">
        <v>1880</v>
      </c>
      <c r="E12" s="209">
        <v>172</v>
      </c>
      <c r="F12" s="209">
        <v>130</v>
      </c>
      <c r="G12" s="209">
        <f>B12 * C12 * E12</f>
        <v>323360</v>
      </c>
      <c r="H12" s="209">
        <f>B12 * D12 * F12</f>
        <v>244400</v>
      </c>
      <c r="I12" s="209">
        <f>G12 - H12</f>
        <v>78960</v>
      </c>
      <c r="J12" s="89">
        <f>I12 / 12</f>
        <v>6580</v>
      </c>
      <c r="K12" s="210">
        <f>I12 / G12</f>
        <v>0.2441860465116279</v>
      </c>
    </row>
    <row r="13" spans="1:11" x14ac:dyDescent="0.3">
      <c r="F13" s="203" t="s">
        <v>160</v>
      </c>
      <c r="G13" s="204">
        <f>SUM(G10:G12)</f>
        <v>646720</v>
      </c>
      <c r="H13" s="204">
        <f>SUM(H10:H12)</f>
        <v>607100</v>
      </c>
      <c r="I13" s="204">
        <f>SUM(I10:I12)</f>
        <v>39620</v>
      </c>
      <c r="J13" s="204">
        <f>SUM(J10:J12)</f>
        <v>3301.6666666666665</v>
      </c>
      <c r="K13" s="205">
        <f>I13 / G13</f>
        <v>6.12629886194953E-2</v>
      </c>
    </row>
    <row r="16" spans="1:11" ht="32.25" customHeight="1" x14ac:dyDescent="0.45">
      <c r="A16" s="76" t="s">
        <v>162</v>
      </c>
    </row>
    <row r="17" spans="1:11" x14ac:dyDescent="0.3">
      <c r="A17" s="200" t="s">
        <v>150</v>
      </c>
      <c r="B17" s="200" t="s">
        <v>151</v>
      </c>
      <c r="C17" s="200" t="s">
        <v>152</v>
      </c>
      <c r="D17" s="200" t="s">
        <v>153</v>
      </c>
      <c r="E17" s="200" t="s">
        <v>154</v>
      </c>
      <c r="F17" s="200" t="s">
        <v>155</v>
      </c>
      <c r="G17" s="200" t="s">
        <v>44</v>
      </c>
      <c r="H17" s="200" t="s">
        <v>156</v>
      </c>
      <c r="I17" s="200" t="s">
        <v>157</v>
      </c>
      <c r="J17" s="200" t="s">
        <v>158</v>
      </c>
      <c r="K17" s="200" t="s">
        <v>159</v>
      </c>
    </row>
    <row r="18" spans="1:11" x14ac:dyDescent="0.3">
      <c r="A18" t="s">
        <v>137</v>
      </c>
      <c r="B18" s="62">
        <v>1</v>
      </c>
      <c r="C18" s="201">
        <v>1880</v>
      </c>
      <c r="D18" s="201">
        <v>1700</v>
      </c>
      <c r="E18" s="89">
        <v>172</v>
      </c>
      <c r="F18" s="89">
        <v>144</v>
      </c>
      <c r="G18" s="89">
        <f>B18 * C18 * E18</f>
        <v>323360</v>
      </c>
      <c r="H18" s="89">
        <f>B18 * D18 * F18</f>
        <v>244800</v>
      </c>
      <c r="I18" s="89">
        <f>G18 - H18</f>
        <v>78560</v>
      </c>
      <c r="J18" s="89">
        <f>I18 / 12</f>
        <v>6546.666666666667</v>
      </c>
      <c r="K18" s="202">
        <f>I18 / G18</f>
        <v>0.2429490351311232</v>
      </c>
    </row>
    <row r="19" spans="1:11" x14ac:dyDescent="0.3">
      <c r="A19" t="s">
        <v>138</v>
      </c>
      <c r="B19" s="62">
        <v>1</v>
      </c>
      <c r="C19" s="208">
        <v>940</v>
      </c>
      <c r="D19" s="208">
        <v>900</v>
      </c>
      <c r="E19" s="89">
        <v>172</v>
      </c>
      <c r="F19" s="89">
        <v>131</v>
      </c>
      <c r="G19" s="89">
        <f>B19 * C19 * E19</f>
        <v>161680</v>
      </c>
      <c r="H19" s="89">
        <f>B19 * D19 * F19</f>
        <v>117900</v>
      </c>
      <c r="I19" s="89">
        <f>G19 - H19</f>
        <v>43780</v>
      </c>
      <c r="J19" s="89">
        <f>I19 / 12</f>
        <v>3648.3333333333335</v>
      </c>
      <c r="K19" s="202">
        <f>I19 / G19</f>
        <v>0.27078179119247897</v>
      </c>
    </row>
    <row r="20" spans="1:11" x14ac:dyDescent="0.3">
      <c r="A20" s="206" t="s">
        <v>163</v>
      </c>
      <c r="B20" s="207">
        <v>1</v>
      </c>
      <c r="C20" s="208">
        <v>940</v>
      </c>
      <c r="D20" s="208">
        <v>940</v>
      </c>
      <c r="E20" s="209">
        <v>172</v>
      </c>
      <c r="F20" s="209">
        <v>130</v>
      </c>
      <c r="G20" s="209">
        <f>B20 * C20 * E20</f>
        <v>161680</v>
      </c>
      <c r="H20" s="209">
        <f>B20 * D20 * F20</f>
        <v>122200</v>
      </c>
      <c r="I20" s="209">
        <f>G20 - H20</f>
        <v>39480</v>
      </c>
      <c r="J20" s="89">
        <f>I20 / 12</f>
        <v>3290</v>
      </c>
      <c r="K20" s="210">
        <f>I20 / G20</f>
        <v>0.2441860465116279</v>
      </c>
    </row>
    <row r="21" spans="1:11" x14ac:dyDescent="0.3">
      <c r="F21" s="203" t="s">
        <v>160</v>
      </c>
      <c r="G21" s="204">
        <f>SUM(G18:G20)</f>
        <v>646720</v>
      </c>
      <c r="H21" s="204">
        <f>SUM(H18:H20)</f>
        <v>484900</v>
      </c>
      <c r="I21" s="204">
        <f>SUM(I18:I20)</f>
        <v>161820</v>
      </c>
      <c r="J21" s="204">
        <f>SUM(J18:J20)</f>
        <v>13485</v>
      </c>
      <c r="K21" s="205">
        <f>I21 / G21</f>
        <v>0.25021647699158833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E640-6FAE-49D2-AABB-F282895F4D6C}">
  <dimension ref="B3:Q36"/>
  <sheetViews>
    <sheetView topLeftCell="A9" workbookViewId="0">
      <selection activeCell="B24" sqref="B24"/>
    </sheetView>
  </sheetViews>
  <sheetFormatPr defaultRowHeight="14.4" x14ac:dyDescent="0.3"/>
  <cols>
    <col min="2" max="2" width="17.33203125" customWidth="1"/>
    <col min="3" max="7" width="13.33203125" customWidth="1"/>
    <col min="8" max="8" width="9.6640625" customWidth="1"/>
    <col min="9" max="14" width="13.33203125" customWidth="1"/>
    <col min="17" max="17" width="13" bestFit="1" customWidth="1"/>
  </cols>
  <sheetData>
    <row r="3" spans="2:17" ht="18.75" customHeight="1" x14ac:dyDescent="0.4">
      <c r="B3" s="49" t="s">
        <v>121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1"/>
      <c r="P3" s="156" t="s">
        <v>164</v>
      </c>
      <c r="Q3" s="156" t="s">
        <v>165</v>
      </c>
    </row>
    <row r="4" spans="2:17" ht="50.25" customHeight="1" x14ac:dyDescent="0.3">
      <c r="B4" s="33" t="s">
        <v>1</v>
      </c>
      <c r="C4" s="34" t="s">
        <v>3</v>
      </c>
      <c r="D4" s="34" t="s">
        <v>2</v>
      </c>
      <c r="E4" s="34" t="s">
        <v>4</v>
      </c>
      <c r="F4" s="34" t="s">
        <v>6</v>
      </c>
      <c r="G4" s="34" t="s">
        <v>5</v>
      </c>
      <c r="H4" s="34"/>
      <c r="I4" s="34" t="s">
        <v>19</v>
      </c>
      <c r="J4" s="34" t="s">
        <v>20</v>
      </c>
      <c r="K4" s="34" t="s">
        <v>21</v>
      </c>
      <c r="L4" s="35" t="s">
        <v>22</v>
      </c>
      <c r="M4" s="34" t="s">
        <v>23</v>
      </c>
      <c r="N4" s="36" t="s">
        <v>24</v>
      </c>
      <c r="P4" t="s">
        <v>166</v>
      </c>
    </row>
    <row r="5" spans="2:17" ht="18.75" customHeight="1" x14ac:dyDescent="0.3">
      <c r="B5" s="55">
        <v>0.03</v>
      </c>
      <c r="C5" s="53">
        <v>0.1</v>
      </c>
      <c r="D5" s="53">
        <v>0.12</v>
      </c>
      <c r="E5" s="53">
        <v>0.1</v>
      </c>
      <c r="F5" s="53">
        <v>0.25</v>
      </c>
      <c r="G5" s="54">
        <v>1880</v>
      </c>
      <c r="H5" s="37"/>
      <c r="I5" s="56">
        <v>225</v>
      </c>
      <c r="J5" s="29">
        <f>F8</f>
        <v>129.25531914893617</v>
      </c>
      <c r="K5" s="29">
        <f>I5 - J5</f>
        <v>95.744680851063833</v>
      </c>
      <c r="L5" s="29">
        <f>1000 / (G5 / 12)</f>
        <v>6.3829787234042561</v>
      </c>
      <c r="M5" s="54" t="s">
        <v>87</v>
      </c>
      <c r="N5" s="38">
        <f>_xlfn.IFS(M5 = "Yes",K5 - L5,M5 = "No",K5)</f>
        <v>89.361702127659584</v>
      </c>
    </row>
    <row r="6" spans="2:17" ht="18.75" customHeight="1" x14ac:dyDescent="0.3">
      <c r="B6" s="39"/>
      <c r="C6" s="40"/>
      <c r="D6" s="40"/>
      <c r="E6" s="40"/>
      <c r="F6" s="40"/>
      <c r="G6" s="40"/>
      <c r="H6" s="40"/>
      <c r="I6" s="65"/>
      <c r="J6" s="40"/>
      <c r="K6" s="40"/>
      <c r="L6" s="40"/>
      <c r="M6" s="40"/>
      <c r="N6" s="41"/>
    </row>
    <row r="7" spans="2:17" ht="43.2" x14ac:dyDescent="0.3">
      <c r="B7" s="33" t="s">
        <v>84</v>
      </c>
      <c r="C7" s="34" t="s">
        <v>11</v>
      </c>
      <c r="D7" s="34" t="s">
        <v>12</v>
      </c>
      <c r="E7" s="34" t="s">
        <v>13</v>
      </c>
      <c r="F7" s="34" t="s">
        <v>14</v>
      </c>
      <c r="G7" s="34" t="s">
        <v>15</v>
      </c>
      <c r="H7" s="34"/>
      <c r="I7" s="34" t="s">
        <v>26</v>
      </c>
      <c r="J7" s="34" t="s">
        <v>27</v>
      </c>
      <c r="K7" s="34" t="s">
        <v>28</v>
      </c>
      <c r="L7" s="30" t="s">
        <v>29</v>
      </c>
      <c r="M7" s="34" t="s">
        <v>30</v>
      </c>
      <c r="N7" s="36" t="s">
        <v>31</v>
      </c>
    </row>
    <row r="8" spans="2:17" ht="18.75" customHeight="1" x14ac:dyDescent="0.3">
      <c r="B8" s="52">
        <v>180000</v>
      </c>
      <c r="C8" s="42">
        <f>B8 / $G5</f>
        <v>95.744680851063833</v>
      </c>
      <c r="D8" s="43">
        <f>SUM($B5,$C5,$D5,$E5)</f>
        <v>0.35</v>
      </c>
      <c r="E8" s="42">
        <f>(B8 * D8) / $G5</f>
        <v>33.510638297872333</v>
      </c>
      <c r="F8" s="42">
        <f>C8 + E8</f>
        <v>129.25531914893617</v>
      </c>
      <c r="G8" s="42">
        <f>F8 * (1+$F5)</f>
        <v>161.56914893617022</v>
      </c>
      <c r="H8" s="44"/>
      <c r="I8" s="45">
        <f>G5 * I5</f>
        <v>423000</v>
      </c>
      <c r="J8" s="45">
        <f>_xlfn.IFS(M5 = "Yes",G5 * (J5 + L5),M5 &lt;&gt; "Yes",G5 * (J5))</f>
        <v>254999.99999999997</v>
      </c>
      <c r="K8" s="45">
        <f>I8 - J8</f>
        <v>168000.00000000003</v>
      </c>
      <c r="L8" s="46">
        <f>K8 / I8</f>
        <v>0.39716312056737596</v>
      </c>
      <c r="M8" s="45">
        <f>I8 / 12</f>
        <v>35250</v>
      </c>
      <c r="N8" s="47">
        <f>K8 / 12</f>
        <v>14000.000000000002</v>
      </c>
    </row>
    <row r="9" spans="2:17" ht="18.75" customHeight="1" x14ac:dyDescent="0.3"/>
    <row r="10" spans="2:17" ht="18.75" customHeight="1" x14ac:dyDescent="0.4">
      <c r="B10" s="49" t="s">
        <v>130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2:17" ht="51" customHeight="1" x14ac:dyDescent="0.3">
      <c r="B11" s="33" t="s">
        <v>1</v>
      </c>
      <c r="C11" s="34" t="s">
        <v>3</v>
      </c>
      <c r="D11" s="34" t="s">
        <v>2</v>
      </c>
      <c r="E11" s="34" t="s">
        <v>4</v>
      </c>
      <c r="F11" s="34" t="s">
        <v>6</v>
      </c>
      <c r="G11" s="34" t="s">
        <v>5</v>
      </c>
      <c r="H11" s="34"/>
      <c r="I11" s="34" t="s">
        <v>19</v>
      </c>
      <c r="J11" s="34" t="s">
        <v>20</v>
      </c>
      <c r="K11" s="34" t="s">
        <v>21</v>
      </c>
      <c r="L11" s="35" t="s">
        <v>22</v>
      </c>
      <c r="M11" s="34" t="s">
        <v>23</v>
      </c>
      <c r="N11" s="36" t="s">
        <v>24</v>
      </c>
    </row>
    <row r="12" spans="2:17" ht="18.75" customHeight="1" x14ac:dyDescent="0.3">
      <c r="B12" s="55">
        <v>0.13</v>
      </c>
      <c r="C12" s="53">
        <v>0.1</v>
      </c>
      <c r="D12" s="53">
        <v>0.12</v>
      </c>
      <c r="E12" s="53">
        <v>0.1</v>
      </c>
      <c r="F12" s="53">
        <v>0.25</v>
      </c>
      <c r="G12" s="54">
        <v>1880</v>
      </c>
      <c r="H12" s="37"/>
      <c r="I12" s="56">
        <v>225</v>
      </c>
      <c r="J12" s="29">
        <f>F15</f>
        <v>154.25531914893617</v>
      </c>
      <c r="K12" s="29">
        <f>I12 - J12</f>
        <v>70.744680851063833</v>
      </c>
      <c r="L12" s="29">
        <f>1000 / (G12 / 12)</f>
        <v>6.3829787234042561</v>
      </c>
      <c r="M12" s="54" t="s">
        <v>87</v>
      </c>
      <c r="N12" s="38">
        <f>_xlfn.IFS(M12 = "Yes",K12 - L12,M12 = "No",K12)</f>
        <v>64.361702127659584</v>
      </c>
      <c r="Q12" s="64"/>
    </row>
    <row r="13" spans="2:17" ht="18.75" customHeight="1" x14ac:dyDescent="0.3">
      <c r="B13" s="39"/>
      <c r="C13" s="40"/>
      <c r="D13" s="40"/>
      <c r="E13" s="40"/>
      <c r="F13" s="40"/>
      <c r="G13" s="40"/>
      <c r="H13" s="40"/>
      <c r="I13" s="65"/>
      <c r="J13" s="40"/>
      <c r="K13" s="40"/>
      <c r="L13" s="40"/>
      <c r="M13" s="40"/>
      <c r="N13" s="41"/>
    </row>
    <row r="14" spans="2:17" ht="43.2" x14ac:dyDescent="0.3">
      <c r="B14" s="33" t="s">
        <v>84</v>
      </c>
      <c r="C14" s="34" t="s">
        <v>11</v>
      </c>
      <c r="D14" s="34" t="s">
        <v>12</v>
      </c>
      <c r="E14" s="34" t="s">
        <v>13</v>
      </c>
      <c r="F14" s="34" t="s">
        <v>14</v>
      </c>
      <c r="G14" s="34" t="s">
        <v>15</v>
      </c>
      <c r="H14" s="34"/>
      <c r="I14" s="34" t="s">
        <v>26</v>
      </c>
      <c r="J14" s="34" t="s">
        <v>27</v>
      </c>
      <c r="K14" s="34" t="s">
        <v>28</v>
      </c>
      <c r="L14" s="30" t="s">
        <v>29</v>
      </c>
      <c r="M14" s="34" t="s">
        <v>30</v>
      </c>
      <c r="N14" s="36" t="s">
        <v>31</v>
      </c>
    </row>
    <row r="15" spans="2:17" ht="18.75" customHeight="1" x14ac:dyDescent="0.3">
      <c r="B15" s="52">
        <v>200000</v>
      </c>
      <c r="C15" s="42">
        <f>B15 / $G12</f>
        <v>106.38297872340425</v>
      </c>
      <c r="D15" s="43">
        <f>SUM($B12,$C12,$D12,$E12)</f>
        <v>0.44999999999999996</v>
      </c>
      <c r="E15" s="42">
        <f>(B15 * D15) / $G12</f>
        <v>47.87234042553191</v>
      </c>
      <c r="F15" s="42">
        <f>C15 + E15</f>
        <v>154.25531914893617</v>
      </c>
      <c r="G15" s="42">
        <f>F15 * (1+$F12)</f>
        <v>192.81914893617022</v>
      </c>
      <c r="H15" s="44"/>
      <c r="I15" s="45">
        <f>G12 * I12</f>
        <v>423000</v>
      </c>
      <c r="J15" s="45">
        <f>_xlfn.IFS(M12 = "Yes",G12 * (J12 + L12),M12 &lt;&gt; "Yes",G12 * (J12))</f>
        <v>302000</v>
      </c>
      <c r="K15" s="45">
        <f>I15 - J15</f>
        <v>121000</v>
      </c>
      <c r="L15" s="46">
        <f>K15 / I15</f>
        <v>0.2860520094562648</v>
      </c>
      <c r="M15" s="45">
        <f>I15 / 12</f>
        <v>35250</v>
      </c>
      <c r="N15" s="47">
        <f>K15 / 12</f>
        <v>10083.333333333334</v>
      </c>
    </row>
    <row r="17" spans="2:14" ht="21" x14ac:dyDescent="0.4">
      <c r="B17" s="49" t="s">
        <v>167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1"/>
    </row>
    <row r="18" spans="2:14" ht="43.2" x14ac:dyDescent="0.3">
      <c r="B18" s="33" t="s">
        <v>1</v>
      </c>
      <c r="C18" s="34" t="s">
        <v>3</v>
      </c>
      <c r="D18" s="34" t="s">
        <v>2</v>
      </c>
      <c r="E18" s="34" t="s">
        <v>4</v>
      </c>
      <c r="F18" s="34" t="s">
        <v>6</v>
      </c>
      <c r="G18" s="34" t="s">
        <v>5</v>
      </c>
      <c r="H18" s="34"/>
      <c r="I18" s="34" t="s">
        <v>19</v>
      </c>
      <c r="J18" s="34" t="s">
        <v>20</v>
      </c>
      <c r="K18" s="34" t="s">
        <v>21</v>
      </c>
      <c r="L18" s="35" t="s">
        <v>22</v>
      </c>
      <c r="M18" s="34" t="s">
        <v>23</v>
      </c>
      <c r="N18" s="36" t="s">
        <v>24</v>
      </c>
    </row>
    <row r="19" spans="2:14" x14ac:dyDescent="0.3">
      <c r="B19" s="55">
        <v>0.13</v>
      </c>
      <c r="C19" s="53">
        <v>0.1</v>
      </c>
      <c r="D19" s="53">
        <v>0.12</v>
      </c>
      <c r="E19" s="53">
        <v>0.1</v>
      </c>
      <c r="F19" s="53">
        <v>0.25</v>
      </c>
      <c r="G19" s="54">
        <v>1880</v>
      </c>
      <c r="H19" s="37"/>
      <c r="I19" s="56">
        <v>250</v>
      </c>
      <c r="J19" s="29">
        <f>F22</f>
        <v>142.68617021276594</v>
      </c>
      <c r="K19" s="29">
        <f>I19 - J19</f>
        <v>107.31382978723406</v>
      </c>
      <c r="L19" s="29">
        <f>1000 / (G19 / 12)</f>
        <v>6.3829787234042561</v>
      </c>
      <c r="M19" s="54" t="s">
        <v>87</v>
      </c>
      <c r="N19" s="38">
        <f>_xlfn.IFS(M19 = "Yes",K19 - L19,M19 = "No",K19)</f>
        <v>100.93085106382981</v>
      </c>
    </row>
    <row r="20" spans="2:14" x14ac:dyDescent="0.3">
      <c r="B20" s="39"/>
      <c r="C20" s="40"/>
      <c r="D20" s="40"/>
      <c r="E20" s="40"/>
      <c r="F20" s="40"/>
      <c r="G20" s="40"/>
      <c r="H20" s="40"/>
      <c r="I20" s="65"/>
      <c r="J20" s="40"/>
      <c r="K20" s="40"/>
      <c r="L20" s="40"/>
      <c r="M20" s="40"/>
      <c r="N20" s="41"/>
    </row>
    <row r="21" spans="2:14" ht="43.2" x14ac:dyDescent="0.3">
      <c r="B21" s="33" t="s">
        <v>84</v>
      </c>
      <c r="C21" s="34" t="s">
        <v>11</v>
      </c>
      <c r="D21" s="34" t="s">
        <v>12</v>
      </c>
      <c r="E21" s="34" t="s">
        <v>13</v>
      </c>
      <c r="F21" s="34" t="s">
        <v>14</v>
      </c>
      <c r="G21" s="34" t="s">
        <v>15</v>
      </c>
      <c r="H21" s="34"/>
      <c r="I21" s="34" t="s">
        <v>26</v>
      </c>
      <c r="J21" s="34" t="s">
        <v>27</v>
      </c>
      <c r="K21" s="34" t="s">
        <v>28</v>
      </c>
      <c r="L21" s="30" t="s">
        <v>29</v>
      </c>
      <c r="M21" s="34" t="s">
        <v>30</v>
      </c>
      <c r="N21" s="36" t="s">
        <v>31</v>
      </c>
    </row>
    <row r="22" spans="2:14" x14ac:dyDescent="0.3">
      <c r="B22" s="52">
        <v>185000</v>
      </c>
      <c r="C22" s="42">
        <f>B22 / $G19</f>
        <v>98.40425531914893</v>
      </c>
      <c r="D22" s="43">
        <f>SUM($B19,$C19,$D19,$E19)</f>
        <v>0.44999999999999996</v>
      </c>
      <c r="E22" s="42">
        <f>(B22 * D22) / $G19</f>
        <v>44.281914893617014</v>
      </c>
      <c r="F22" s="42">
        <f>C22 + E22</f>
        <v>142.68617021276594</v>
      </c>
      <c r="G22" s="42">
        <f>F22 * (1+$F19)</f>
        <v>178.35771276595744</v>
      </c>
      <c r="H22" s="44"/>
      <c r="I22" s="45">
        <f>G19 * I19</f>
        <v>470000</v>
      </c>
      <c r="J22" s="45">
        <f>_xlfn.IFS(M19 = "Yes",G19 * (J19 + L19),M19 &lt;&gt; "Yes",G19 * (J19))</f>
        <v>280249.99999999994</v>
      </c>
      <c r="K22" s="45">
        <f>I22 - J22</f>
        <v>189750.00000000006</v>
      </c>
      <c r="L22" s="46">
        <f>K22 / I22</f>
        <v>0.40372340425531927</v>
      </c>
      <c r="M22" s="45">
        <f>I22 / 12</f>
        <v>39166.666666666664</v>
      </c>
      <c r="N22" s="47">
        <f>K22 / 12</f>
        <v>15812.500000000005</v>
      </c>
    </row>
    <row r="24" spans="2:14" ht="21" x14ac:dyDescent="0.4">
      <c r="B24" s="49" t="s">
        <v>168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1"/>
    </row>
    <row r="25" spans="2:14" ht="43.2" x14ac:dyDescent="0.3">
      <c r="B25" s="33" t="s">
        <v>1</v>
      </c>
      <c r="C25" s="34" t="s">
        <v>3</v>
      </c>
      <c r="D25" s="34" t="s">
        <v>2</v>
      </c>
      <c r="E25" s="34" t="s">
        <v>4</v>
      </c>
      <c r="F25" s="34" t="s">
        <v>6</v>
      </c>
      <c r="G25" s="34" t="s">
        <v>5</v>
      </c>
      <c r="H25" s="34"/>
      <c r="I25" s="34" t="s">
        <v>19</v>
      </c>
      <c r="J25" s="34" t="s">
        <v>20</v>
      </c>
      <c r="K25" s="34" t="s">
        <v>21</v>
      </c>
      <c r="L25" s="35" t="s">
        <v>22</v>
      </c>
      <c r="M25" s="34" t="s">
        <v>23</v>
      </c>
      <c r="N25" s="36" t="s">
        <v>24</v>
      </c>
    </row>
    <row r="26" spans="2:14" x14ac:dyDescent="0.3">
      <c r="B26" s="55">
        <v>0.13</v>
      </c>
      <c r="C26" s="53">
        <v>0.1</v>
      </c>
      <c r="D26" s="53">
        <v>0.12</v>
      </c>
      <c r="E26" s="53">
        <v>0.1</v>
      </c>
      <c r="F26" s="53">
        <v>0.25</v>
      </c>
      <c r="G26" s="54">
        <v>1880</v>
      </c>
      <c r="H26" s="37"/>
      <c r="I26" s="56">
        <v>225</v>
      </c>
      <c r="J26" s="29">
        <f>F29</f>
        <v>192.81914893617019</v>
      </c>
      <c r="K26" s="29">
        <f>I26 - J26</f>
        <v>32.180851063829806</v>
      </c>
      <c r="L26" s="29">
        <f>1000 / (G26 / 12)</f>
        <v>6.3829787234042561</v>
      </c>
      <c r="M26" s="54" t="s">
        <v>87</v>
      </c>
      <c r="N26" s="38">
        <f>_xlfn.IFS(M26 = "Yes",K26 - L26,M26 = "No",K26)</f>
        <v>25.797872340425549</v>
      </c>
    </row>
    <row r="27" spans="2:14" x14ac:dyDescent="0.3">
      <c r="B27" s="39"/>
      <c r="C27" s="40"/>
      <c r="D27" s="40"/>
      <c r="E27" s="40"/>
      <c r="F27" s="40"/>
      <c r="G27" s="40"/>
      <c r="H27" s="40"/>
      <c r="I27" s="65"/>
      <c r="J27" s="40"/>
      <c r="K27" s="40"/>
      <c r="L27" s="40"/>
      <c r="M27" s="40"/>
      <c r="N27" s="41"/>
    </row>
    <row r="28" spans="2:14" ht="43.2" x14ac:dyDescent="0.3">
      <c r="B28" s="33" t="s">
        <v>84</v>
      </c>
      <c r="C28" s="34" t="s">
        <v>11</v>
      </c>
      <c r="D28" s="34" t="s">
        <v>12</v>
      </c>
      <c r="E28" s="34" t="s">
        <v>13</v>
      </c>
      <c r="F28" s="34" t="s">
        <v>14</v>
      </c>
      <c r="G28" s="34" t="s">
        <v>15</v>
      </c>
      <c r="H28" s="34"/>
      <c r="I28" s="34" t="s">
        <v>26</v>
      </c>
      <c r="J28" s="34" t="s">
        <v>27</v>
      </c>
      <c r="K28" s="34" t="s">
        <v>28</v>
      </c>
      <c r="L28" s="30" t="s">
        <v>29</v>
      </c>
      <c r="M28" s="34" t="s">
        <v>30</v>
      </c>
      <c r="N28" s="36" t="s">
        <v>31</v>
      </c>
    </row>
    <row r="29" spans="2:14" x14ac:dyDescent="0.3">
      <c r="B29" s="52">
        <v>250000</v>
      </c>
      <c r="C29" s="42">
        <f>B29 / $G26</f>
        <v>132.97872340425531</v>
      </c>
      <c r="D29" s="43">
        <f>SUM($B26,$C26,$D26,$E26)</f>
        <v>0.44999999999999996</v>
      </c>
      <c r="E29" s="42">
        <f>(B29 * D29) / $G26</f>
        <v>59.840425531914889</v>
      </c>
      <c r="F29" s="42">
        <f>C29 + E29</f>
        <v>192.81914893617019</v>
      </c>
      <c r="G29" s="42">
        <f>F29 * (1+$F26)</f>
        <v>241.02393617021275</v>
      </c>
      <c r="H29" s="44"/>
      <c r="I29" s="45">
        <f>G26 * I26</f>
        <v>423000</v>
      </c>
      <c r="J29" s="45">
        <f>_xlfn.IFS(M26 = "Yes",G26 * (J26 + L26),M26 &lt;&gt; "Yes",G26 * (J26))</f>
        <v>374499.99999999994</v>
      </c>
      <c r="K29" s="45">
        <f>I29 - J29</f>
        <v>48500.000000000058</v>
      </c>
      <c r="L29" s="46">
        <f>K29 / I29</f>
        <v>0.11465721040189139</v>
      </c>
      <c r="M29" s="45">
        <f>I29 / 12</f>
        <v>35250</v>
      </c>
      <c r="N29" s="47">
        <f>K29 / 12</f>
        <v>4041.6666666666715</v>
      </c>
    </row>
    <row r="31" spans="2:14" ht="21" x14ac:dyDescent="0.4">
      <c r="B31" s="49" t="s">
        <v>169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1"/>
    </row>
    <row r="32" spans="2:14" ht="43.2" x14ac:dyDescent="0.3">
      <c r="B32" s="33" t="s">
        <v>1</v>
      </c>
      <c r="C32" s="34" t="s">
        <v>3</v>
      </c>
      <c r="D32" s="34" t="s">
        <v>2</v>
      </c>
      <c r="E32" s="34" t="s">
        <v>4</v>
      </c>
      <c r="F32" s="34" t="s">
        <v>6</v>
      </c>
      <c r="G32" s="34" t="s">
        <v>5</v>
      </c>
      <c r="H32" s="34"/>
      <c r="I32" s="34" t="s">
        <v>19</v>
      </c>
      <c r="J32" s="34" t="s">
        <v>20</v>
      </c>
      <c r="K32" s="34" t="s">
        <v>21</v>
      </c>
      <c r="L32" s="35" t="s">
        <v>22</v>
      </c>
      <c r="M32" s="34" t="s">
        <v>23</v>
      </c>
      <c r="N32" s="36" t="s">
        <v>24</v>
      </c>
    </row>
    <row r="33" spans="2:14" x14ac:dyDescent="0.3">
      <c r="B33" s="55">
        <v>0.13</v>
      </c>
      <c r="C33" s="53">
        <v>0.05</v>
      </c>
      <c r="D33" s="53">
        <v>0.12</v>
      </c>
      <c r="E33" s="53">
        <v>0.1</v>
      </c>
      <c r="F33" s="53">
        <v>0.25</v>
      </c>
      <c r="G33" s="54">
        <v>1880</v>
      </c>
      <c r="H33" s="37"/>
      <c r="I33" s="56">
        <v>250</v>
      </c>
      <c r="J33" s="29">
        <f>F36</f>
        <v>223.40425531914894</v>
      </c>
      <c r="K33" s="29">
        <f>I33 - J33</f>
        <v>26.595744680851055</v>
      </c>
      <c r="L33" s="29">
        <f>1000 / (G33 / 12)</f>
        <v>6.3829787234042561</v>
      </c>
      <c r="M33" s="54" t="s">
        <v>87</v>
      </c>
      <c r="N33" s="38">
        <f>_xlfn.IFS(M33 = "Yes",K33 - L33,M33 = "No",K33)</f>
        <v>20.212765957446798</v>
      </c>
    </row>
    <row r="34" spans="2:14" x14ac:dyDescent="0.3">
      <c r="B34" s="39"/>
      <c r="C34" s="40"/>
      <c r="D34" s="40"/>
      <c r="E34" s="40"/>
      <c r="F34" s="40"/>
      <c r="G34" s="40"/>
      <c r="H34" s="40"/>
      <c r="I34" s="65"/>
      <c r="J34" s="40"/>
      <c r="K34" s="40"/>
      <c r="L34" s="40"/>
      <c r="M34" s="40"/>
      <c r="N34" s="41"/>
    </row>
    <row r="35" spans="2:14" ht="43.2" x14ac:dyDescent="0.3">
      <c r="B35" s="33" t="s">
        <v>84</v>
      </c>
      <c r="C35" s="34" t="s">
        <v>11</v>
      </c>
      <c r="D35" s="34" t="s">
        <v>12</v>
      </c>
      <c r="E35" s="34" t="s">
        <v>13</v>
      </c>
      <c r="F35" s="34" t="s">
        <v>14</v>
      </c>
      <c r="G35" s="34" t="s">
        <v>15</v>
      </c>
      <c r="H35" s="34"/>
      <c r="I35" s="34" t="s">
        <v>26</v>
      </c>
      <c r="J35" s="34" t="s">
        <v>27</v>
      </c>
      <c r="K35" s="34" t="s">
        <v>28</v>
      </c>
      <c r="L35" s="30" t="s">
        <v>29</v>
      </c>
      <c r="M35" s="34" t="s">
        <v>30</v>
      </c>
      <c r="N35" s="36" t="s">
        <v>31</v>
      </c>
    </row>
    <row r="36" spans="2:14" x14ac:dyDescent="0.3">
      <c r="B36" s="52">
        <v>300000</v>
      </c>
      <c r="C36" s="42">
        <f>B36 / $G33</f>
        <v>159.57446808510639</v>
      </c>
      <c r="D36" s="43">
        <f>SUM($B33,$C33,$D33,$E33)</f>
        <v>0.4</v>
      </c>
      <c r="E36" s="42">
        <f>(B36 * D36) / $G33</f>
        <v>63.829787234042556</v>
      </c>
      <c r="F36" s="42">
        <f>C36 + E36</f>
        <v>223.40425531914894</v>
      </c>
      <c r="G36" s="42">
        <f>F36 * (1+$F33)</f>
        <v>279.25531914893617</v>
      </c>
      <c r="H36" s="44"/>
      <c r="I36" s="45">
        <f>G33 * I33</f>
        <v>470000</v>
      </c>
      <c r="J36" s="45">
        <f>_xlfn.IFS(M33 = "Yes",G33 * (J33 + L33),M33 &lt;&gt; "Yes",G33 * (J33))</f>
        <v>432000</v>
      </c>
      <c r="K36" s="45">
        <f>I36 - J36</f>
        <v>38000</v>
      </c>
      <c r="L36" s="46">
        <f>K36 / I36</f>
        <v>8.085106382978724E-2</v>
      </c>
      <c r="M36" s="45">
        <f>I36 / 12</f>
        <v>39166.666666666664</v>
      </c>
      <c r="N36" s="47">
        <f>K36 / 12</f>
        <v>3166.6666666666665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24A4-714A-4FF2-8257-33E82B86B488}">
  <dimension ref="A3:AE149"/>
  <sheetViews>
    <sheetView zoomScale="85" zoomScaleNormal="85" workbookViewId="0">
      <selection activeCell="J14" sqref="J14"/>
    </sheetView>
  </sheetViews>
  <sheetFormatPr defaultRowHeight="14.4" x14ac:dyDescent="0.3"/>
  <cols>
    <col min="1" max="1" width="12.5546875" customWidth="1"/>
    <col min="2" max="2" width="17.44140625" customWidth="1"/>
    <col min="3" max="3" width="18.109375" customWidth="1"/>
    <col min="4" max="4" width="18.44140625" customWidth="1"/>
    <col min="5" max="5" width="15.109375" customWidth="1"/>
    <col min="6" max="6" width="17.5546875" customWidth="1"/>
    <col min="7" max="8" width="15.109375" customWidth="1"/>
    <col min="9" max="9" width="10.33203125" bestFit="1" customWidth="1"/>
    <col min="10" max="11" width="15.109375" customWidth="1"/>
    <col min="12" max="12" width="19.88671875" bestFit="1" customWidth="1"/>
    <col min="13" max="15" width="15.109375" customWidth="1"/>
    <col min="16" max="16" width="15.33203125" customWidth="1"/>
    <col min="17" max="17" width="10.109375" customWidth="1"/>
    <col min="19" max="19" width="16.6640625" bestFit="1" customWidth="1"/>
    <col min="22" max="22" width="10.109375" customWidth="1"/>
    <col min="26" max="28" width="11.33203125" customWidth="1"/>
  </cols>
  <sheetData>
    <row r="3" spans="1:17" ht="28.8" x14ac:dyDescent="0.3">
      <c r="B3" s="34" t="s">
        <v>170</v>
      </c>
      <c r="C3" s="34" t="s">
        <v>26</v>
      </c>
      <c r="D3" s="34" t="s">
        <v>27</v>
      </c>
      <c r="E3" s="34" t="s">
        <v>28</v>
      </c>
      <c r="F3" s="34" t="s">
        <v>29</v>
      </c>
      <c r="G3" s="34" t="s">
        <v>30</v>
      </c>
      <c r="H3" s="34" t="s">
        <v>31</v>
      </c>
      <c r="K3" s="34" t="s">
        <v>170</v>
      </c>
      <c r="L3" s="34" t="s">
        <v>26</v>
      </c>
      <c r="M3" s="34" t="s">
        <v>27</v>
      </c>
      <c r="N3" s="34" t="s">
        <v>28</v>
      </c>
      <c r="O3" s="34" t="s">
        <v>29</v>
      </c>
      <c r="P3" s="34" t="s">
        <v>30</v>
      </c>
      <c r="Q3" s="34" t="s">
        <v>31</v>
      </c>
    </row>
    <row r="4" spans="1:17" ht="15" hidden="1" customHeight="1" x14ac:dyDescent="0.3">
      <c r="A4" s="279" t="s">
        <v>171</v>
      </c>
      <c r="B4" s="129"/>
      <c r="C4" s="130"/>
      <c r="D4" s="130"/>
      <c r="E4" s="130"/>
      <c r="F4" s="131"/>
      <c r="G4" s="130"/>
      <c r="H4" s="130"/>
      <c r="K4" s="129"/>
      <c r="L4" s="130"/>
      <c r="M4" s="130"/>
      <c r="N4" s="130"/>
      <c r="O4" s="131"/>
      <c r="P4" s="130"/>
      <c r="Q4" s="130"/>
    </row>
    <row r="5" spans="1:17" ht="15" hidden="1" customHeight="1" x14ac:dyDescent="0.3">
      <c r="A5" s="279"/>
      <c r="B5" s="129" t="s">
        <v>172</v>
      </c>
      <c r="C5" s="130" t="e">
        <f>#REF!</f>
        <v>#REF!</v>
      </c>
      <c r="D5" s="130" t="e">
        <f>#REF!</f>
        <v>#REF!</v>
      </c>
      <c r="E5" s="130" t="e">
        <f>#REF!</f>
        <v>#REF!</v>
      </c>
      <c r="F5" s="141" t="e">
        <f>#REF!</f>
        <v>#REF!</v>
      </c>
      <c r="G5" s="130" t="e">
        <f>#REF!</f>
        <v>#REF!</v>
      </c>
      <c r="H5" s="130" t="e">
        <f>#REF!</f>
        <v>#REF!</v>
      </c>
      <c r="K5" s="129" t="s">
        <v>172</v>
      </c>
      <c r="L5" s="130" t="e">
        <f>#REF!</f>
        <v>#REF!</v>
      </c>
      <c r="M5" s="130" t="e">
        <f>#REF!</f>
        <v>#REF!</v>
      </c>
      <c r="N5" s="130" t="e">
        <f>#REF!</f>
        <v>#REF!</v>
      </c>
      <c r="O5" s="141" t="e">
        <f>#REF!</f>
        <v>#REF!</v>
      </c>
      <c r="P5" s="130" t="e">
        <f>#REF!</f>
        <v>#REF!</v>
      </c>
      <c r="Q5" s="130" t="e">
        <f>#REF!</f>
        <v>#REF!</v>
      </c>
    </row>
    <row r="6" spans="1:17" ht="15" hidden="1" customHeight="1" x14ac:dyDescent="0.3">
      <c r="A6" s="279"/>
      <c r="B6" s="132" t="s">
        <v>64</v>
      </c>
      <c r="C6" s="134" t="e">
        <f>SUM(C4:C5)</f>
        <v>#REF!</v>
      </c>
      <c r="D6" s="134" t="e">
        <f>SUM(D4:D5)</f>
        <v>#REF!</v>
      </c>
      <c r="E6" s="134" t="e">
        <f>SUM(E4:E5)</f>
        <v>#REF!</v>
      </c>
      <c r="F6" s="136" t="e">
        <f>AVERAGE(F4:F5, 0.145)</f>
        <v>#REF!</v>
      </c>
      <c r="G6" s="134" t="e">
        <f>SUM(G4:G5)</f>
        <v>#REF!</v>
      </c>
      <c r="H6" s="134" t="e">
        <f>SUM(H4:H5)</f>
        <v>#REF!</v>
      </c>
      <c r="K6" s="132" t="s">
        <v>64</v>
      </c>
      <c r="L6" s="134" t="e">
        <f>SUM(L4:L5)</f>
        <v>#REF!</v>
      </c>
      <c r="M6" s="134" t="e">
        <f>SUM(M4:M5)</f>
        <v>#REF!</v>
      </c>
      <c r="N6" s="134" t="e">
        <f>SUM(N4:N5)</f>
        <v>#REF!</v>
      </c>
      <c r="O6" s="136" t="e">
        <f>AVERAGE(O4:O5, 0.145)</f>
        <v>#REF!</v>
      </c>
      <c r="P6" s="134" t="e">
        <f>SUM(P4:P5)</f>
        <v>#REF!</v>
      </c>
      <c r="Q6" s="134" t="e">
        <f>SUM(Q4:Q5)</f>
        <v>#REF!</v>
      </c>
    </row>
    <row r="7" spans="1:17" ht="15" hidden="1" customHeight="1" x14ac:dyDescent="0.3">
      <c r="B7" s="40"/>
      <c r="C7" s="121"/>
      <c r="D7" s="121"/>
      <c r="E7" s="124"/>
      <c r="F7" s="128"/>
      <c r="G7" s="121"/>
      <c r="H7" s="121"/>
      <c r="K7" s="40"/>
      <c r="L7" s="121"/>
      <c r="M7" s="121"/>
      <c r="N7" s="124"/>
      <c r="O7" s="128"/>
      <c r="P7" s="121"/>
      <c r="Q7" s="121"/>
    </row>
    <row r="8" spans="1:17" x14ac:dyDescent="0.3">
      <c r="A8" s="279" t="s">
        <v>173</v>
      </c>
      <c r="B8" s="129" t="s">
        <v>118</v>
      </c>
      <c r="C8" s="130">
        <f>I42</f>
        <v>323360</v>
      </c>
      <c r="D8" s="130">
        <f t="shared" ref="D8" si="0">J42</f>
        <v>200499.99999999997</v>
      </c>
      <c r="E8" s="130">
        <f>C8-D8</f>
        <v>122860.00000000003</v>
      </c>
      <c r="F8" s="141">
        <f t="shared" ref="F8:F11" si="1">E8/C8</f>
        <v>0.37994804552201888</v>
      </c>
      <c r="G8" s="130">
        <f>C8/12</f>
        <v>26946.666666666668</v>
      </c>
      <c r="H8" s="130">
        <f>E8/12</f>
        <v>10238.333333333336</v>
      </c>
      <c r="K8" s="129" t="s">
        <v>174</v>
      </c>
      <c r="L8" s="130">
        <v>275213.19999999995</v>
      </c>
      <c r="M8" s="130">
        <v>195000</v>
      </c>
      <c r="N8" s="130">
        <v>80213.199999999953</v>
      </c>
      <c r="O8" s="130">
        <v>0.34596160358587441</v>
      </c>
      <c r="P8" s="130">
        <v>22934.433333333331</v>
      </c>
      <c r="Q8" s="130">
        <v>6684.4333333333298</v>
      </c>
    </row>
    <row r="9" spans="1:17" x14ac:dyDescent="0.3">
      <c r="A9" s="279"/>
      <c r="B9" s="129" t="s">
        <v>175</v>
      </c>
      <c r="C9" s="130">
        <f>I26</f>
        <v>295160</v>
      </c>
      <c r="D9" s="130">
        <f>J26</f>
        <v>252315</v>
      </c>
      <c r="E9" s="130">
        <f t="shared" ref="E9:E13" si="2">C9-D9</f>
        <v>42845</v>
      </c>
      <c r="F9" s="141">
        <f t="shared" si="1"/>
        <v>0.1451585580701992</v>
      </c>
      <c r="G9" s="130">
        <f t="shared" ref="G9:G13" si="3">C9/12</f>
        <v>24596.666666666668</v>
      </c>
      <c r="H9" s="130">
        <f t="shared" ref="H9:H13" si="4">E9/12</f>
        <v>3570.4166666666665</v>
      </c>
      <c r="K9" s="129" t="s">
        <v>176</v>
      </c>
      <c r="L9" s="130">
        <v>275213.19999999995</v>
      </c>
      <c r="M9" s="130">
        <v>195000</v>
      </c>
      <c r="N9" s="130">
        <f t="shared" ref="N9:N13" si="5">L9-M9</f>
        <v>80213.199999999953</v>
      </c>
      <c r="O9" s="131">
        <v>0.34596160358587441</v>
      </c>
      <c r="P9" s="130">
        <f t="shared" ref="P9:P13" si="6">L9/12</f>
        <v>22934.433333333331</v>
      </c>
      <c r="Q9" s="130">
        <f t="shared" ref="Q9:Q13" si="7">N9/12</f>
        <v>6684.4333333333298</v>
      </c>
    </row>
    <row r="10" spans="1:17" x14ac:dyDescent="0.3">
      <c r="A10" s="279"/>
      <c r="B10" s="129" t="s">
        <v>138</v>
      </c>
      <c r="C10" s="130">
        <f>I35</f>
        <v>312343.19999999995</v>
      </c>
      <c r="D10" s="130">
        <f t="shared" ref="D10" si="8">J35</f>
        <v>236250</v>
      </c>
      <c r="E10" s="130">
        <f t="shared" si="2"/>
        <v>76093.199999999953</v>
      </c>
      <c r="F10" s="141">
        <f t="shared" si="1"/>
        <v>0.24362047901154874</v>
      </c>
      <c r="G10" s="130">
        <f t="shared" si="3"/>
        <v>26028.599999999995</v>
      </c>
      <c r="H10" s="130">
        <f t="shared" si="4"/>
        <v>6341.0999999999958</v>
      </c>
      <c r="K10" s="129" t="s">
        <v>177</v>
      </c>
      <c r="L10" s="130">
        <v>275213.19999999995</v>
      </c>
      <c r="M10" s="130">
        <v>195000</v>
      </c>
      <c r="N10" s="130">
        <f t="shared" si="5"/>
        <v>80213.199999999953</v>
      </c>
      <c r="O10" s="131">
        <v>0.34596160358587441</v>
      </c>
      <c r="P10" s="130">
        <f t="shared" si="6"/>
        <v>22934.433333333331</v>
      </c>
      <c r="Q10" s="130">
        <f t="shared" si="7"/>
        <v>6684.4333333333298</v>
      </c>
    </row>
    <row r="11" spans="1:17" x14ac:dyDescent="0.3">
      <c r="A11" s="279"/>
      <c r="B11" s="129" t="s">
        <v>178</v>
      </c>
      <c r="C11" s="130">
        <f>I58</f>
        <v>275213.19999999995</v>
      </c>
      <c r="D11" s="130">
        <f>J58</f>
        <v>173999.99999999997</v>
      </c>
      <c r="E11" s="130">
        <f t="shared" si="2"/>
        <v>101213.19999999998</v>
      </c>
      <c r="F11" s="141">
        <f t="shared" si="1"/>
        <v>0.36776288346634534</v>
      </c>
      <c r="G11" s="130">
        <f>C11/12</f>
        <v>22934.433333333331</v>
      </c>
      <c r="H11" s="130">
        <f t="shared" si="4"/>
        <v>8434.4333333333325</v>
      </c>
      <c r="K11" s="129" t="s">
        <v>179</v>
      </c>
      <c r="L11" s="130">
        <v>275213.19999999995</v>
      </c>
      <c r="M11" s="130">
        <v>195000</v>
      </c>
      <c r="N11" s="130">
        <f t="shared" si="5"/>
        <v>80213.199999999953</v>
      </c>
      <c r="O11" s="131">
        <v>0.34596160358587441</v>
      </c>
      <c r="P11" s="130">
        <f t="shared" si="6"/>
        <v>22934.433333333331</v>
      </c>
      <c r="Q11" s="130">
        <f t="shared" si="7"/>
        <v>6684.4333333333298</v>
      </c>
    </row>
    <row r="12" spans="1:17" x14ac:dyDescent="0.3">
      <c r="A12" s="279"/>
      <c r="B12" s="129" t="s">
        <v>180</v>
      </c>
      <c r="C12" s="130">
        <f>I66</f>
        <v>275213.19999999995</v>
      </c>
      <c r="D12" s="130">
        <f>J66</f>
        <v>220412.2340425532</v>
      </c>
      <c r="E12" s="130">
        <f t="shared" si="2"/>
        <v>54800.965957446751</v>
      </c>
      <c r="F12" s="141">
        <f>E12/C12</f>
        <v>0.19912186609307533</v>
      </c>
      <c r="G12" s="130">
        <f t="shared" si="3"/>
        <v>22934.433333333331</v>
      </c>
      <c r="H12" s="130">
        <f t="shared" si="4"/>
        <v>4566.7471631205626</v>
      </c>
      <c r="K12" s="129" t="s">
        <v>181</v>
      </c>
      <c r="L12" s="130">
        <v>275213.19999999995</v>
      </c>
      <c r="M12" s="130">
        <v>195000</v>
      </c>
      <c r="N12" s="130">
        <f t="shared" si="5"/>
        <v>80213.199999999953</v>
      </c>
      <c r="O12" s="131">
        <v>0.34596160358587441</v>
      </c>
      <c r="P12" s="130">
        <f t="shared" si="6"/>
        <v>22934.433333333331</v>
      </c>
      <c r="Q12" s="130">
        <f t="shared" si="7"/>
        <v>6684.4333333333298</v>
      </c>
    </row>
    <row r="13" spans="1:17" x14ac:dyDescent="0.3">
      <c r="A13" s="279"/>
      <c r="B13" s="129" t="s">
        <v>137</v>
      </c>
      <c r="C13" s="130">
        <f>I51</f>
        <v>323360</v>
      </c>
      <c r="D13" s="130">
        <v>220000</v>
      </c>
      <c r="E13" s="130">
        <f t="shared" si="2"/>
        <v>103360</v>
      </c>
      <c r="F13" s="131">
        <f>L51</f>
        <v>0.16501731815932724</v>
      </c>
      <c r="G13" s="130">
        <f t="shared" si="3"/>
        <v>26946.666666666668</v>
      </c>
      <c r="H13" s="130">
        <f t="shared" si="4"/>
        <v>8613.3333333333339</v>
      </c>
      <c r="K13" s="129" t="s">
        <v>182</v>
      </c>
      <c r="L13" s="130">
        <v>275213.19999999995</v>
      </c>
      <c r="M13" s="130">
        <v>195000</v>
      </c>
      <c r="N13" s="130">
        <f t="shared" si="5"/>
        <v>80213.199999999953</v>
      </c>
      <c r="O13" s="131">
        <v>0.34596160358587441</v>
      </c>
      <c r="P13" s="130">
        <f t="shared" si="6"/>
        <v>22934.433333333331</v>
      </c>
      <c r="Q13" s="130">
        <f t="shared" si="7"/>
        <v>6684.4333333333298</v>
      </c>
    </row>
    <row r="14" spans="1:17" x14ac:dyDescent="0.3">
      <c r="A14" s="279"/>
      <c r="B14" s="129"/>
      <c r="C14" s="130"/>
      <c r="D14" s="130"/>
      <c r="E14" s="130"/>
      <c r="F14" s="131"/>
      <c r="G14" s="130"/>
      <c r="H14" s="130"/>
      <c r="K14" s="129"/>
      <c r="L14" s="130"/>
      <c r="M14" s="130"/>
      <c r="N14" s="130"/>
      <c r="O14" s="131"/>
      <c r="P14" s="130"/>
      <c r="Q14" s="130"/>
    </row>
    <row r="15" spans="1:17" x14ac:dyDescent="0.3">
      <c r="A15" s="279"/>
      <c r="B15" s="129"/>
      <c r="C15" s="130"/>
      <c r="D15" s="130"/>
      <c r="E15" s="130"/>
      <c r="F15" s="131"/>
      <c r="G15" s="130"/>
      <c r="H15" s="130"/>
      <c r="K15" s="129"/>
      <c r="L15" s="130"/>
      <c r="M15" s="130"/>
      <c r="N15" s="130"/>
      <c r="O15" s="131"/>
      <c r="P15" s="130"/>
      <c r="Q15" s="130"/>
    </row>
    <row r="16" spans="1:17" x14ac:dyDescent="0.3">
      <c r="A16" s="279"/>
      <c r="B16" s="129"/>
      <c r="C16" s="130"/>
      <c r="D16" s="130"/>
      <c r="E16" s="130"/>
      <c r="F16" s="131"/>
      <c r="G16" s="130"/>
      <c r="H16" s="130"/>
      <c r="K16" s="129"/>
      <c r="L16" s="130"/>
      <c r="M16" s="130"/>
      <c r="N16" s="130"/>
      <c r="O16" s="131"/>
      <c r="P16" s="130"/>
      <c r="Q16" s="130"/>
    </row>
    <row r="17" spans="1:31" x14ac:dyDescent="0.3">
      <c r="A17" s="279"/>
      <c r="B17" s="132" t="s">
        <v>64</v>
      </c>
      <c r="C17" s="133">
        <f>SUM(C8:C13)</f>
        <v>1804649.5999999999</v>
      </c>
      <c r="D17" s="133">
        <f>SUM(D8:D13)</f>
        <v>1303477.2340425532</v>
      </c>
      <c r="E17" s="133">
        <f>SUM(E8:E13)</f>
        <v>501172.36595744675</v>
      </c>
      <c r="F17" s="135">
        <f>E17/C17</f>
        <v>0.27771173193812626</v>
      </c>
      <c r="G17" s="133">
        <f>SUM(G8:G13)</f>
        <v>150387.46666666667</v>
      </c>
      <c r="H17" s="133">
        <f>SUM(H8:H13)</f>
        <v>41764.363829787231</v>
      </c>
      <c r="K17" s="132" t="s">
        <v>64</v>
      </c>
      <c r="L17" s="133">
        <f>SUM(L8:L13)</f>
        <v>1651279.1999999997</v>
      </c>
      <c r="M17" s="133">
        <f>SUM(M8:M13)</f>
        <v>1170000</v>
      </c>
      <c r="N17" s="133">
        <f>SUM(N8:N13)</f>
        <v>481279.19999999972</v>
      </c>
      <c r="O17" s="135">
        <f>N17/L17</f>
        <v>0.29145840388469729</v>
      </c>
      <c r="P17" s="133">
        <f>SUM(P8:P13)</f>
        <v>137606.59999999998</v>
      </c>
      <c r="Q17" s="133">
        <f>SUM(Q8:Q13)</f>
        <v>40106.599999999977</v>
      </c>
    </row>
    <row r="18" spans="1:31" ht="14.4" customHeight="1" x14ac:dyDescent="0.3">
      <c r="E18" s="61"/>
      <c r="I18" s="64">
        <f>I22+(I22*0.02)</f>
        <v>162.25139999999999</v>
      </c>
    </row>
    <row r="20" spans="1:31" ht="21" x14ac:dyDescent="0.4">
      <c r="B20" s="49" t="s">
        <v>183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1"/>
      <c r="S20" s="49" t="s">
        <v>137</v>
      </c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1"/>
    </row>
    <row r="21" spans="1:31" ht="72" x14ac:dyDescent="0.3">
      <c r="B21" s="33" t="s">
        <v>1</v>
      </c>
      <c r="C21" s="34" t="s">
        <v>3</v>
      </c>
      <c r="D21" s="34" t="s">
        <v>2</v>
      </c>
      <c r="E21" s="34" t="s">
        <v>4</v>
      </c>
      <c r="F21" s="34" t="s">
        <v>6</v>
      </c>
      <c r="G21" s="34" t="s">
        <v>5</v>
      </c>
      <c r="H21" s="34"/>
      <c r="I21" s="34" t="s">
        <v>19</v>
      </c>
      <c r="J21" s="34" t="s">
        <v>20</v>
      </c>
      <c r="K21" s="34" t="s">
        <v>21</v>
      </c>
      <c r="L21" s="35" t="s">
        <v>22</v>
      </c>
      <c r="M21" s="34" t="s">
        <v>23</v>
      </c>
      <c r="N21" s="36" t="s">
        <v>24</v>
      </c>
      <c r="S21" s="33" t="s">
        <v>1</v>
      </c>
      <c r="T21" s="34" t="s">
        <v>3</v>
      </c>
      <c r="U21" s="34" t="s">
        <v>2</v>
      </c>
      <c r="V21" s="34" t="s">
        <v>4</v>
      </c>
      <c r="W21" s="34" t="s">
        <v>6</v>
      </c>
      <c r="X21" s="34" t="s">
        <v>5</v>
      </c>
      <c r="Y21" s="34"/>
      <c r="Z21" s="34" t="s">
        <v>19</v>
      </c>
      <c r="AA21" s="34" t="s">
        <v>20</v>
      </c>
      <c r="AB21" s="34" t="s">
        <v>21</v>
      </c>
      <c r="AC21" s="35" t="s">
        <v>22</v>
      </c>
      <c r="AD21" s="34" t="s">
        <v>23</v>
      </c>
      <c r="AE21" s="36" t="s">
        <v>24</v>
      </c>
    </row>
    <row r="22" spans="1:31" x14ac:dyDescent="0.3">
      <c r="B22" s="55">
        <v>0</v>
      </c>
      <c r="C22" s="59">
        <v>0</v>
      </c>
      <c r="D22" s="53">
        <v>0</v>
      </c>
      <c r="E22" s="53">
        <v>0.05</v>
      </c>
      <c r="F22" s="53">
        <v>0.25</v>
      </c>
      <c r="G22" s="54">
        <v>1880</v>
      </c>
      <c r="H22" s="37">
        <f>G22/52</f>
        <v>36.153846153846153</v>
      </c>
      <c r="I22" s="117">
        <v>159.07</v>
      </c>
      <c r="J22" s="29">
        <f>F25</f>
        <v>141.75</v>
      </c>
      <c r="K22" s="29">
        <f>I22 - J22</f>
        <v>17.319999999999993</v>
      </c>
      <c r="L22" s="29">
        <f>1000 / (G22 / 12)</f>
        <v>6.3829787234042561</v>
      </c>
      <c r="M22" s="54" t="s">
        <v>105</v>
      </c>
      <c r="N22" s="38">
        <f>_xlfn.IFS(M22 = "Yes",K22 - L22,M22 = "No",K22)</f>
        <v>17.319999999999993</v>
      </c>
      <c r="S22" s="55">
        <v>0.13</v>
      </c>
      <c r="T22" s="59">
        <v>0</v>
      </c>
      <c r="U22" s="53">
        <v>0.12</v>
      </c>
      <c r="V22" s="53">
        <v>0.1</v>
      </c>
      <c r="W22" s="53">
        <v>0.25</v>
      </c>
      <c r="X22" s="54">
        <v>940</v>
      </c>
      <c r="Y22" s="116"/>
      <c r="Z22" s="117">
        <v>172</v>
      </c>
      <c r="AA22" s="118">
        <f>W25</f>
        <v>111.70212765957446</v>
      </c>
      <c r="AB22" s="118">
        <f>Z22 - AA22</f>
        <v>60.297872340425542</v>
      </c>
      <c r="AC22" s="118">
        <f>1000 / (X22 / 12)</f>
        <v>12.765957446808512</v>
      </c>
      <c r="AD22" s="115" t="s">
        <v>32</v>
      </c>
      <c r="AE22" s="119">
        <f>_xlfn.IFS(AD22 = "Yes",AB22 - AC22,AD22 = "No",AB22)</f>
        <v>60.297872340425542</v>
      </c>
    </row>
    <row r="23" spans="1:31" x14ac:dyDescent="0.3">
      <c r="B23" s="39"/>
      <c r="C23" s="40"/>
      <c r="D23" s="40"/>
      <c r="E23" s="40"/>
      <c r="F23" s="40"/>
      <c r="G23" s="139">
        <v>1780</v>
      </c>
      <c r="H23" s="40">
        <f>G23/52</f>
        <v>34.230769230769234</v>
      </c>
      <c r="I23" s="65"/>
      <c r="J23" s="40"/>
      <c r="K23" s="40"/>
      <c r="L23" s="40"/>
      <c r="M23" s="40"/>
      <c r="N23" s="41"/>
      <c r="S23" s="120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2"/>
    </row>
    <row r="24" spans="1:31" ht="72" x14ac:dyDescent="0.3">
      <c r="B24" s="33" t="s">
        <v>84</v>
      </c>
      <c r="C24" s="34" t="s">
        <v>11</v>
      </c>
      <c r="D24" s="34" t="s">
        <v>12</v>
      </c>
      <c r="E24" s="34" t="s">
        <v>13</v>
      </c>
      <c r="F24" s="34" t="s">
        <v>14</v>
      </c>
      <c r="G24" s="34" t="s">
        <v>15</v>
      </c>
      <c r="H24" s="34"/>
      <c r="I24" s="34" t="s">
        <v>26</v>
      </c>
      <c r="J24" s="34" t="s">
        <v>27</v>
      </c>
      <c r="K24" s="34" t="s">
        <v>28</v>
      </c>
      <c r="L24" s="30" t="s">
        <v>29</v>
      </c>
      <c r="M24" s="34" t="s">
        <v>30</v>
      </c>
      <c r="N24" s="36" t="s">
        <v>31</v>
      </c>
      <c r="S24" s="123" t="s">
        <v>84</v>
      </c>
      <c r="T24" s="124" t="s">
        <v>11</v>
      </c>
      <c r="U24" s="124" t="s">
        <v>12</v>
      </c>
      <c r="V24" s="124" t="s">
        <v>13</v>
      </c>
      <c r="W24" s="124" t="s">
        <v>14</v>
      </c>
      <c r="X24" s="124" t="s">
        <v>15</v>
      </c>
      <c r="Y24" s="124"/>
      <c r="Z24" s="124" t="s">
        <v>26</v>
      </c>
      <c r="AA24" s="124" t="s">
        <v>27</v>
      </c>
      <c r="AB24" s="124" t="s">
        <v>28</v>
      </c>
      <c r="AC24" s="125" t="s">
        <v>29</v>
      </c>
      <c r="AD24" s="124" t="s">
        <v>30</v>
      </c>
      <c r="AE24" s="126" t="s">
        <v>31</v>
      </c>
    </row>
    <row r="25" spans="1:31" x14ac:dyDescent="0.3">
      <c r="B25" s="52">
        <f>135*G22</f>
        <v>253800</v>
      </c>
      <c r="C25" s="42">
        <f>B25 / $G22</f>
        <v>135</v>
      </c>
      <c r="D25" s="43">
        <f>SUM($B22,$C22,$D22,$E22)</f>
        <v>0.05</v>
      </c>
      <c r="E25" s="42">
        <f>(B25 * D25) / $G22</f>
        <v>6.75</v>
      </c>
      <c r="F25" s="42">
        <f>C25 + E25</f>
        <v>141.75</v>
      </c>
      <c r="G25" s="42">
        <f>F25 * (1+$F22)</f>
        <v>177.1875</v>
      </c>
      <c r="H25" s="44"/>
      <c r="I25" s="45">
        <f>G22 * I22</f>
        <v>299051.59999999998</v>
      </c>
      <c r="J25" s="45">
        <f>_xlfn.IFS(M22 = "Yes",G22 * (J22 + L22),M22 &lt;&gt; "Yes",G22 * (J22))</f>
        <v>266490</v>
      </c>
      <c r="K25" s="45">
        <f>I25 - J25</f>
        <v>32561.599999999977</v>
      </c>
      <c r="L25" s="46">
        <f>K25 / I25</f>
        <v>0.10888288175017281</v>
      </c>
      <c r="M25" s="45">
        <f>I25 / 12</f>
        <v>24920.966666666664</v>
      </c>
      <c r="N25" s="47">
        <f>K25 / 12</f>
        <v>2713.4666666666649</v>
      </c>
      <c r="S25" s="52">
        <v>200000</v>
      </c>
      <c r="T25" s="45">
        <f>S25 / $G22</f>
        <v>106.38297872340425</v>
      </c>
      <c r="U25" s="45">
        <f>SUM($B22,$C22,$D22,$E22)</f>
        <v>0.05</v>
      </c>
      <c r="V25" s="45">
        <f>(S25 * U25) / $G22</f>
        <v>5.3191489361702127</v>
      </c>
      <c r="W25" s="45">
        <f>T25 + V25</f>
        <v>111.70212765957446</v>
      </c>
      <c r="X25" s="45">
        <f>W25 * (1+$F22)</f>
        <v>139.62765957446808</v>
      </c>
      <c r="Y25" s="127"/>
      <c r="Z25" s="45">
        <f>X22 * Z22</f>
        <v>161680</v>
      </c>
      <c r="AA25" s="45">
        <f>_xlfn.IFS(AD22 = "Yes",X22 * (AA22 + AC22),AD22 &lt;&gt; "Yes",X22 * (AA22))</f>
        <v>104999.99999999999</v>
      </c>
      <c r="AB25" s="45">
        <f>Z25 - AA25</f>
        <v>56680.000000000015</v>
      </c>
      <c r="AC25" s="46">
        <f>AB25 / Z25</f>
        <v>0.35056902523503225</v>
      </c>
      <c r="AD25" s="45">
        <f>Z25 / 12</f>
        <v>13473.333333333334</v>
      </c>
      <c r="AE25" s="47">
        <f>AB25 / 12</f>
        <v>4723.3333333333348</v>
      </c>
    </row>
    <row r="26" spans="1:31" x14ac:dyDescent="0.3">
      <c r="I26" s="63">
        <v>295160</v>
      </c>
      <c r="J26" s="64">
        <f>G23*F25</f>
        <v>252315</v>
      </c>
      <c r="K26" s="64">
        <f>I26-J26</f>
        <v>42845</v>
      </c>
      <c r="L26" s="46">
        <f>K26 / I26</f>
        <v>0.1451585580701992</v>
      </c>
      <c r="M26" s="45">
        <f>I26 / 12</f>
        <v>24596.666666666668</v>
      </c>
      <c r="N26" s="47">
        <f>K26 / 12</f>
        <v>3570.4166666666665</v>
      </c>
    </row>
    <row r="29" spans="1:31" ht="21" x14ac:dyDescent="0.4">
      <c r="B29" s="49" t="s">
        <v>138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1"/>
      <c r="S29" s="49" t="s">
        <v>138</v>
      </c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1"/>
    </row>
    <row r="30" spans="1:31" ht="72" x14ac:dyDescent="0.3">
      <c r="B30" s="33" t="s">
        <v>1</v>
      </c>
      <c r="C30" s="34" t="s">
        <v>3</v>
      </c>
      <c r="D30" s="34" t="s">
        <v>2</v>
      </c>
      <c r="E30" s="34" t="s">
        <v>4</v>
      </c>
      <c r="F30" s="34" t="s">
        <v>6</v>
      </c>
      <c r="G30" s="34" t="s">
        <v>5</v>
      </c>
      <c r="H30" s="34"/>
      <c r="I30" s="34" t="s">
        <v>19</v>
      </c>
      <c r="J30" s="34" t="s">
        <v>20</v>
      </c>
      <c r="K30" s="34" t="s">
        <v>21</v>
      </c>
      <c r="L30" s="35" t="s">
        <v>22</v>
      </c>
      <c r="M30" s="34" t="s">
        <v>23</v>
      </c>
      <c r="N30" s="36" t="s">
        <v>24</v>
      </c>
      <c r="S30" s="33" t="s">
        <v>1</v>
      </c>
      <c r="T30" s="34" t="s">
        <v>3</v>
      </c>
      <c r="U30" s="34" t="s">
        <v>2</v>
      </c>
      <c r="V30" s="34" t="s">
        <v>4</v>
      </c>
      <c r="W30" s="34" t="s">
        <v>6</v>
      </c>
      <c r="X30" s="34" t="s">
        <v>5</v>
      </c>
      <c r="Y30" s="34"/>
      <c r="Z30" s="34" t="s">
        <v>19</v>
      </c>
      <c r="AA30" s="34" t="s">
        <v>20</v>
      </c>
      <c r="AB30" s="34" t="s">
        <v>21</v>
      </c>
      <c r="AC30" s="35" t="s">
        <v>22</v>
      </c>
      <c r="AD30" s="34" t="s">
        <v>23</v>
      </c>
      <c r="AE30" s="36" t="s">
        <v>24</v>
      </c>
    </row>
    <row r="31" spans="1:31" x14ac:dyDescent="0.3">
      <c r="B31" s="55">
        <v>0</v>
      </c>
      <c r="C31" s="53">
        <v>0</v>
      </c>
      <c r="D31" s="53">
        <v>0</v>
      </c>
      <c r="E31" s="53">
        <v>0.05</v>
      </c>
      <c r="F31" s="53">
        <v>0.25</v>
      </c>
      <c r="G31" s="140">
        <v>1880</v>
      </c>
      <c r="H31" s="121"/>
      <c r="I31" s="117">
        <v>166.14</v>
      </c>
      <c r="J31" s="118">
        <f>F34</f>
        <v>131.25</v>
      </c>
      <c r="K31" s="118">
        <f>I31 - J31</f>
        <v>34.889999999999986</v>
      </c>
      <c r="L31" s="118">
        <f>1000 / (G31 / 12)</f>
        <v>6.3829787234042561</v>
      </c>
      <c r="M31" s="115" t="s">
        <v>32</v>
      </c>
      <c r="N31" s="119">
        <f>_xlfn.IFS(M31 = "Yes",K31 - L31,M31 = "No",K31)</f>
        <v>34.889999999999986</v>
      </c>
      <c r="S31" s="55">
        <v>0</v>
      </c>
      <c r="T31" s="53">
        <v>0</v>
      </c>
      <c r="U31" s="53">
        <v>0</v>
      </c>
      <c r="V31" s="53">
        <v>0.05</v>
      </c>
      <c r="W31" s="53">
        <v>0.25</v>
      </c>
      <c r="X31" s="140">
        <v>940</v>
      </c>
      <c r="Y31" s="121"/>
      <c r="Z31" s="117">
        <v>166.14</v>
      </c>
      <c r="AA31" s="118">
        <f>W34</f>
        <v>65.625</v>
      </c>
      <c r="AB31" s="118">
        <f>Z31 - AA31</f>
        <v>100.51499999999999</v>
      </c>
      <c r="AC31" s="118">
        <f>1000 / (X31 / 12)</f>
        <v>12.765957446808512</v>
      </c>
      <c r="AD31" s="115" t="s">
        <v>32</v>
      </c>
      <c r="AE31" s="119">
        <f>_xlfn.IFS(AD31 = "Yes",AB31 - AC31,AD31 = "No",AB31)</f>
        <v>100.51499999999999</v>
      </c>
    </row>
    <row r="32" spans="1:31" x14ac:dyDescent="0.3">
      <c r="B32" s="120"/>
      <c r="C32" s="121"/>
      <c r="D32" s="121"/>
      <c r="E32" s="121"/>
      <c r="F32" s="121"/>
      <c r="G32" s="121">
        <v>1800</v>
      </c>
      <c r="H32" s="63"/>
      <c r="I32" s="121"/>
      <c r="J32" s="121"/>
      <c r="K32" s="121"/>
      <c r="L32" s="121"/>
      <c r="M32" s="121"/>
      <c r="N32" s="122"/>
      <c r="S32" s="120"/>
      <c r="T32" s="121"/>
      <c r="U32" s="121"/>
      <c r="V32" s="121"/>
      <c r="W32" s="121"/>
      <c r="X32" s="121">
        <v>900</v>
      </c>
      <c r="Y32" s="63"/>
      <c r="Z32" s="121"/>
      <c r="AA32" s="121"/>
      <c r="AB32" s="121"/>
      <c r="AC32" s="121"/>
      <c r="AD32" s="121"/>
      <c r="AE32" s="122"/>
    </row>
    <row r="33" spans="2:31" ht="72" x14ac:dyDescent="0.3">
      <c r="B33" s="123" t="s">
        <v>84</v>
      </c>
      <c r="C33" s="124" t="s">
        <v>11</v>
      </c>
      <c r="D33" s="124" t="s">
        <v>12</v>
      </c>
      <c r="E33" s="124" t="s">
        <v>13</v>
      </c>
      <c r="F33" s="124" t="s">
        <v>14</v>
      </c>
      <c r="G33" s="124" t="s">
        <v>15</v>
      </c>
      <c r="H33" s="124"/>
      <c r="I33" s="124" t="s">
        <v>26</v>
      </c>
      <c r="J33" s="124" t="s">
        <v>27</v>
      </c>
      <c r="K33" s="124" t="s">
        <v>28</v>
      </c>
      <c r="L33" s="125" t="s">
        <v>29</v>
      </c>
      <c r="M33" s="124" t="s">
        <v>30</v>
      </c>
      <c r="N33" s="126" t="s">
        <v>31</v>
      </c>
      <c r="S33" s="123" t="s">
        <v>84</v>
      </c>
      <c r="T33" s="124" t="s">
        <v>11</v>
      </c>
      <c r="U33" s="124" t="s">
        <v>12</v>
      </c>
      <c r="V33" s="124" t="s">
        <v>13</v>
      </c>
      <c r="W33" s="124" t="s">
        <v>14</v>
      </c>
      <c r="X33" s="124" t="s">
        <v>15</v>
      </c>
      <c r="Y33" s="124"/>
      <c r="Z33" s="124" t="s">
        <v>26</v>
      </c>
      <c r="AA33" s="124" t="s">
        <v>27</v>
      </c>
      <c r="AB33" s="124" t="s">
        <v>28</v>
      </c>
      <c r="AC33" s="125" t="s">
        <v>29</v>
      </c>
      <c r="AD33" s="124" t="s">
        <v>30</v>
      </c>
      <c r="AE33" s="126" t="s">
        <v>31</v>
      </c>
    </row>
    <row r="34" spans="2:31" x14ac:dyDescent="0.3">
      <c r="B34" s="52">
        <f>125*G31</f>
        <v>235000</v>
      </c>
      <c r="C34" s="45">
        <f>B34 / G31</f>
        <v>125</v>
      </c>
      <c r="D34" s="45">
        <f>SUM($B31,$C31,$D31,$E31)</f>
        <v>0.05</v>
      </c>
      <c r="E34" s="45">
        <f>(B34 * D34) / $G31</f>
        <v>6.25</v>
      </c>
      <c r="F34" s="45">
        <f>C34 + E34</f>
        <v>131.25</v>
      </c>
      <c r="G34" s="45">
        <f>F34 * (1+$F31)</f>
        <v>164.0625</v>
      </c>
      <c r="H34" s="127"/>
      <c r="I34" s="45">
        <f>G31 * I31</f>
        <v>312343.19999999995</v>
      </c>
      <c r="J34" s="45">
        <f>_xlfn.IFS(M31 = "Yes",G31 * (J31 + L31),M31 &lt;&gt; "Yes",G31 * (J31))</f>
        <v>246750</v>
      </c>
      <c r="K34" s="45">
        <f>I34 - J34</f>
        <v>65593.199999999953</v>
      </c>
      <c r="L34" s="46">
        <f>K34 / I34</f>
        <v>0.210003611412062</v>
      </c>
      <c r="M34" s="45">
        <f>I34 / 12</f>
        <v>26028.599999999995</v>
      </c>
      <c r="N34" s="47">
        <f>K34 / 12</f>
        <v>5466.0999999999958</v>
      </c>
      <c r="S34" s="52">
        <f>125*X31</f>
        <v>117500</v>
      </c>
      <c r="T34" s="45">
        <f>S34 / $G31</f>
        <v>62.5</v>
      </c>
      <c r="U34" s="45">
        <f>SUM($B31,$C31,$D31,$E31)</f>
        <v>0.05</v>
      </c>
      <c r="V34" s="45">
        <f>(S34 * U34) / $G31</f>
        <v>3.125</v>
      </c>
      <c r="W34" s="45">
        <f>T34 + V34</f>
        <v>65.625</v>
      </c>
      <c r="X34" s="45">
        <f>W34 * (1+$F31)</f>
        <v>82.03125</v>
      </c>
      <c r="Y34" s="127"/>
      <c r="Z34" s="45">
        <f>X31 * Z31</f>
        <v>156171.59999999998</v>
      </c>
      <c r="AA34" s="45">
        <f>_xlfn.IFS(AD31 = "Yes",X31 * (AA31 + AC31),AD31 &lt;&gt; "Yes",X31 * (AA31))</f>
        <v>61687.5</v>
      </c>
      <c r="AB34" s="45">
        <f>Z34 - AA34</f>
        <v>94484.099999999977</v>
      </c>
      <c r="AC34" s="46">
        <f>AB34 / Z34</f>
        <v>0.60500180570603102</v>
      </c>
      <c r="AD34" s="45">
        <f>Z34 / 12</f>
        <v>13014.299999999997</v>
      </c>
      <c r="AE34" s="47">
        <f>AB34 / 12</f>
        <v>7873.6749999999984</v>
      </c>
    </row>
    <row r="35" spans="2:31" x14ac:dyDescent="0.3">
      <c r="I35" s="63">
        <f>I34</f>
        <v>312343.19999999995</v>
      </c>
      <c r="J35" s="142">
        <f>G32*J31</f>
        <v>236250</v>
      </c>
      <c r="K35" s="143">
        <f>I35 - J35</f>
        <v>76093.199999999953</v>
      </c>
      <c r="L35" s="144">
        <f>K35 / I35</f>
        <v>0.24362047901154874</v>
      </c>
      <c r="M35" s="143">
        <f>I35 / 12</f>
        <v>26028.599999999995</v>
      </c>
      <c r="N35" s="145">
        <f>K35 / 12</f>
        <v>6341.0999999999958</v>
      </c>
      <c r="Z35" s="63">
        <f>Z34</f>
        <v>156171.59999999998</v>
      </c>
      <c r="AA35" s="142">
        <f>X32*AA31</f>
        <v>59062.5</v>
      </c>
      <c r="AB35" s="143">
        <f>Z35 - AA35</f>
        <v>97109.099999999977</v>
      </c>
      <c r="AC35" s="144">
        <f>AB35 / Z35</f>
        <v>0.62181023950577441</v>
      </c>
      <c r="AD35" s="143">
        <f>Z35 / 12</f>
        <v>13014.299999999997</v>
      </c>
      <c r="AE35" s="145">
        <f>AB35 / 12</f>
        <v>8092.4249999999984</v>
      </c>
    </row>
    <row r="37" spans="2:31" ht="21" x14ac:dyDescent="0.4">
      <c r="B37" s="49" t="s">
        <v>118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1"/>
    </row>
    <row r="38" spans="2:31" ht="43.2" x14ac:dyDescent="0.3">
      <c r="B38" s="33" t="s">
        <v>1</v>
      </c>
      <c r="C38" s="34" t="s">
        <v>3</v>
      </c>
      <c r="D38" s="34" t="s">
        <v>2</v>
      </c>
      <c r="E38" s="34" t="s">
        <v>4</v>
      </c>
      <c r="F38" s="34" t="s">
        <v>6</v>
      </c>
      <c r="G38" s="34" t="s">
        <v>5</v>
      </c>
      <c r="H38" s="34"/>
      <c r="I38" s="34" t="s">
        <v>19</v>
      </c>
      <c r="J38" s="34" t="s">
        <v>20</v>
      </c>
      <c r="K38" s="34" t="s">
        <v>21</v>
      </c>
      <c r="L38" s="35" t="s">
        <v>22</v>
      </c>
      <c r="M38" s="34" t="s">
        <v>23</v>
      </c>
      <c r="N38" s="36" t="s">
        <v>24</v>
      </c>
    </row>
    <row r="39" spans="2:31" x14ac:dyDescent="0.3">
      <c r="B39" s="55">
        <v>0.13</v>
      </c>
      <c r="C39" s="53">
        <v>0.1</v>
      </c>
      <c r="D39" s="53">
        <v>0.12</v>
      </c>
      <c r="E39" s="53">
        <v>0.1</v>
      </c>
      <c r="F39" s="53">
        <v>0.25</v>
      </c>
      <c r="G39" s="115">
        <v>1880</v>
      </c>
      <c r="H39" s="121"/>
      <c r="I39" s="117">
        <v>172</v>
      </c>
      <c r="J39" s="118">
        <f>F42</f>
        <v>100.2659574468085</v>
      </c>
      <c r="K39" s="118">
        <f>I39 - J39</f>
        <v>71.7340425531915</v>
      </c>
      <c r="L39" s="118">
        <f>1000 / (G39 / 12)</f>
        <v>6.3829787234042561</v>
      </c>
      <c r="M39" s="115" t="s">
        <v>87</v>
      </c>
      <c r="N39" s="119">
        <f>_xlfn.IFS(M39 = "Yes",K39 - L39,M39 = "No",K39)</f>
        <v>65.35106382978725</v>
      </c>
    </row>
    <row r="40" spans="2:31" x14ac:dyDescent="0.3">
      <c r="B40" s="120"/>
      <c r="C40" s="121"/>
      <c r="D40" s="121"/>
      <c r="E40" s="121"/>
      <c r="F40" s="121"/>
      <c r="G40" s="121"/>
      <c r="I40" s="121"/>
      <c r="J40" s="121"/>
      <c r="K40" s="121"/>
      <c r="L40" s="121"/>
      <c r="M40" s="121"/>
      <c r="N40" s="122"/>
    </row>
    <row r="41" spans="2:31" ht="43.2" x14ac:dyDescent="0.3">
      <c r="B41" s="123" t="s">
        <v>84</v>
      </c>
      <c r="C41" s="124" t="s">
        <v>11</v>
      </c>
      <c r="D41" s="124" t="s">
        <v>12</v>
      </c>
      <c r="E41" s="124" t="s">
        <v>13</v>
      </c>
      <c r="F41" s="124" t="s">
        <v>14</v>
      </c>
      <c r="G41" s="124" t="s">
        <v>15</v>
      </c>
      <c r="H41" s="124"/>
      <c r="I41" s="124" t="s">
        <v>26</v>
      </c>
      <c r="J41" s="124" t="s">
        <v>27</v>
      </c>
      <c r="K41" s="124" t="s">
        <v>28</v>
      </c>
      <c r="L41" s="125" t="s">
        <v>29</v>
      </c>
      <c r="M41" s="124" t="s">
        <v>30</v>
      </c>
      <c r="N41" s="126" t="s">
        <v>31</v>
      </c>
    </row>
    <row r="42" spans="2:31" x14ac:dyDescent="0.3">
      <c r="B42" s="52">
        <v>130000</v>
      </c>
      <c r="C42" s="45">
        <f>B42 / $G39</f>
        <v>69.148936170212764</v>
      </c>
      <c r="D42" s="45">
        <f>SUM($B39,$C39,$D39,$E39)</f>
        <v>0.44999999999999996</v>
      </c>
      <c r="E42" s="45">
        <f>(B42 * D42) / $G39</f>
        <v>31.117021276595739</v>
      </c>
      <c r="F42" s="45">
        <f>C42 + E42</f>
        <v>100.2659574468085</v>
      </c>
      <c r="G42" s="45">
        <f>F42 * (1+$F39)</f>
        <v>125.33244680851062</v>
      </c>
      <c r="H42" s="127"/>
      <c r="I42" s="45">
        <f>G39 * I39</f>
        <v>323360</v>
      </c>
      <c r="J42" s="45">
        <f>_xlfn.IFS(M39 = "Yes",G39 * (J39 + L39),M39 &lt;&gt; "Yes",G39 * (J39))</f>
        <v>200499.99999999997</v>
      </c>
      <c r="K42" s="45">
        <f>I42 - J42</f>
        <v>122860.00000000003</v>
      </c>
      <c r="L42" s="46">
        <f>K42 / I42</f>
        <v>0.37994804552201888</v>
      </c>
      <c r="M42" s="45">
        <f>I42 / 12</f>
        <v>26946.666666666668</v>
      </c>
      <c r="N42" s="47">
        <f>K42 / 12</f>
        <v>10238.333333333336</v>
      </c>
    </row>
    <row r="46" spans="2:31" ht="21" x14ac:dyDescent="0.4">
      <c r="B46" s="49" t="s">
        <v>137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1"/>
    </row>
    <row r="47" spans="2:31" ht="43.2" x14ac:dyDescent="0.3">
      <c r="B47" s="33" t="s">
        <v>1</v>
      </c>
      <c r="C47" s="34" t="s">
        <v>3</v>
      </c>
      <c r="D47" s="34" t="s">
        <v>2</v>
      </c>
      <c r="E47" s="34" t="s">
        <v>4</v>
      </c>
      <c r="F47" s="34" t="s">
        <v>6</v>
      </c>
      <c r="G47" s="34" t="s">
        <v>5</v>
      </c>
      <c r="H47" s="34"/>
      <c r="I47" s="34" t="s">
        <v>19</v>
      </c>
      <c r="J47" s="34" t="s">
        <v>20</v>
      </c>
      <c r="K47" s="34" t="s">
        <v>21</v>
      </c>
      <c r="L47" s="35" t="s">
        <v>22</v>
      </c>
      <c r="M47" s="34" t="s">
        <v>23</v>
      </c>
      <c r="N47" s="36" t="s">
        <v>24</v>
      </c>
    </row>
    <row r="48" spans="2:31" x14ac:dyDescent="0.3">
      <c r="B48" s="55">
        <v>0.13</v>
      </c>
      <c r="C48" s="59">
        <v>0</v>
      </c>
      <c r="D48" s="53">
        <v>0.12</v>
      </c>
      <c r="E48" s="53">
        <v>0.1</v>
      </c>
      <c r="F48" s="53">
        <v>0.25</v>
      </c>
      <c r="G48" s="54">
        <v>1880</v>
      </c>
      <c r="H48" s="116"/>
      <c r="I48" s="117">
        <v>172</v>
      </c>
      <c r="J48" s="118">
        <f>F51</f>
        <v>143.61702127659572</v>
      </c>
      <c r="K48" s="118">
        <f>I48 - J48</f>
        <v>28.382978723404278</v>
      </c>
      <c r="L48" s="118">
        <f>1000 / (G48 / 12)</f>
        <v>6.3829787234042561</v>
      </c>
      <c r="M48" s="115" t="s">
        <v>32</v>
      </c>
      <c r="N48" s="119">
        <f>_xlfn.IFS(M48 = "Yes",K48 - L48,M48 = "No",K48)</f>
        <v>28.382978723404278</v>
      </c>
    </row>
    <row r="49" spans="2:14" x14ac:dyDescent="0.3">
      <c r="B49" s="120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2"/>
    </row>
    <row r="50" spans="2:14" ht="43.2" x14ac:dyDescent="0.3">
      <c r="B50" s="123" t="s">
        <v>84</v>
      </c>
      <c r="C50" s="124" t="s">
        <v>11</v>
      </c>
      <c r="D50" s="124" t="s">
        <v>12</v>
      </c>
      <c r="E50" s="124" t="s">
        <v>13</v>
      </c>
      <c r="F50" s="124" t="s">
        <v>14</v>
      </c>
      <c r="G50" s="124" t="s">
        <v>15</v>
      </c>
      <c r="H50" s="124"/>
      <c r="I50" s="124" t="s">
        <v>26</v>
      </c>
      <c r="J50" s="124" t="s">
        <v>27</v>
      </c>
      <c r="K50" s="124" t="s">
        <v>28</v>
      </c>
      <c r="L50" s="125" t="s">
        <v>29</v>
      </c>
      <c r="M50" s="124" t="s">
        <v>30</v>
      </c>
      <c r="N50" s="126" t="s">
        <v>31</v>
      </c>
    </row>
    <row r="51" spans="2:14" x14ac:dyDescent="0.3">
      <c r="B51" s="52">
        <v>200000</v>
      </c>
      <c r="C51" s="45">
        <f>B51 / $G48</f>
        <v>106.38297872340425</v>
      </c>
      <c r="D51" s="45">
        <f>SUM($B48,$C48,$D48,$E48)</f>
        <v>0.35</v>
      </c>
      <c r="E51" s="45">
        <f>(B51 * D51) / $G48</f>
        <v>37.234042553191486</v>
      </c>
      <c r="F51" s="45">
        <f>C51 + E51</f>
        <v>143.61702127659572</v>
      </c>
      <c r="G51" s="45">
        <f>F51 * (1+$F48)</f>
        <v>179.52127659574467</v>
      </c>
      <c r="H51" s="127"/>
      <c r="I51" s="45">
        <f>G48 * I48</f>
        <v>323360</v>
      </c>
      <c r="J51" s="45">
        <f>_xlfn.IFS(M48 = "Yes",G48 * (J48 + L48),M48 &lt;&gt; "Yes",G48 * (J48))</f>
        <v>269999.99999999994</v>
      </c>
      <c r="K51" s="45">
        <f>I51 - J51</f>
        <v>53360.000000000058</v>
      </c>
      <c r="L51" s="46">
        <f>K51 / I51</f>
        <v>0.16501731815932724</v>
      </c>
      <c r="M51" s="45">
        <f>I51 / 12</f>
        <v>26946.666666666668</v>
      </c>
      <c r="N51" s="47">
        <f>K51 / 12</f>
        <v>4446.6666666666715</v>
      </c>
    </row>
    <row r="52" spans="2:14" x14ac:dyDescent="0.3">
      <c r="B52" s="115"/>
      <c r="C52" s="118"/>
      <c r="D52" s="118"/>
      <c r="E52" s="118"/>
      <c r="F52" s="118"/>
      <c r="G52" s="118"/>
      <c r="H52" s="147"/>
      <c r="I52" s="118"/>
      <c r="J52" s="118"/>
      <c r="K52" s="118"/>
      <c r="L52" s="137"/>
      <c r="M52" s="118"/>
      <c r="N52" s="118"/>
    </row>
    <row r="53" spans="2:14" ht="21" x14ac:dyDescent="0.4">
      <c r="B53" s="49" t="s">
        <v>178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1"/>
    </row>
    <row r="54" spans="2:14" ht="43.2" x14ac:dyDescent="0.3">
      <c r="B54" s="33" t="s">
        <v>1</v>
      </c>
      <c r="C54" s="34" t="s">
        <v>3</v>
      </c>
      <c r="D54" s="34" t="s">
        <v>2</v>
      </c>
      <c r="E54" s="34" t="s">
        <v>4</v>
      </c>
      <c r="F54" s="34" t="s">
        <v>6</v>
      </c>
      <c r="G54" s="34" t="s">
        <v>5</v>
      </c>
      <c r="H54" s="34"/>
      <c r="I54" s="34" t="s">
        <v>19</v>
      </c>
      <c r="J54" s="34" t="s">
        <v>20</v>
      </c>
      <c r="K54" s="34" t="s">
        <v>21</v>
      </c>
      <c r="L54" s="35" t="s">
        <v>22</v>
      </c>
      <c r="M54" s="34" t="s">
        <v>23</v>
      </c>
      <c r="N54" s="36" t="s">
        <v>24</v>
      </c>
    </row>
    <row r="55" spans="2:14" x14ac:dyDescent="0.3">
      <c r="B55" s="55">
        <v>0.13</v>
      </c>
      <c r="C55" s="53">
        <v>0.1</v>
      </c>
      <c r="D55" s="53">
        <v>0.12</v>
      </c>
      <c r="E55" s="53">
        <v>0.1</v>
      </c>
      <c r="F55" s="53">
        <v>0.25</v>
      </c>
      <c r="G55" s="115">
        <v>1880</v>
      </c>
      <c r="H55" s="121"/>
      <c r="I55" s="146">
        <v>146.38999999999999</v>
      </c>
      <c r="J55" s="118">
        <f>F58</f>
        <v>92.553191489361694</v>
      </c>
      <c r="K55" s="118">
        <f>I55 - J55</f>
        <v>53.836808510638292</v>
      </c>
      <c r="L55" s="118">
        <f>1000 / (G55 / 12)</f>
        <v>6.3829787234042561</v>
      </c>
      <c r="M55" s="115" t="s">
        <v>32</v>
      </c>
      <c r="N55" s="119">
        <f>_xlfn.IFS(M55 = "Yes",K55 - L55,M55 = "No",K55)</f>
        <v>53.836808510638292</v>
      </c>
    </row>
    <row r="56" spans="2:14" x14ac:dyDescent="0.3">
      <c r="B56" s="120"/>
      <c r="C56" s="121"/>
      <c r="D56" s="121"/>
      <c r="E56" s="121"/>
      <c r="F56" s="121"/>
      <c r="G56" s="121"/>
      <c r="I56" s="121"/>
      <c r="J56" s="121"/>
      <c r="K56" s="121"/>
      <c r="L56" s="121"/>
      <c r="M56" s="121"/>
      <c r="N56" s="122"/>
    </row>
    <row r="57" spans="2:14" ht="43.2" x14ac:dyDescent="0.3">
      <c r="B57" s="123" t="s">
        <v>84</v>
      </c>
      <c r="C57" s="124" t="s">
        <v>11</v>
      </c>
      <c r="D57" s="124" t="s">
        <v>12</v>
      </c>
      <c r="E57" s="124" t="s">
        <v>13</v>
      </c>
      <c r="F57" s="124" t="s">
        <v>14</v>
      </c>
      <c r="G57" s="124" t="s">
        <v>15</v>
      </c>
      <c r="H57" s="124"/>
      <c r="I57" s="124" t="s">
        <v>26</v>
      </c>
      <c r="J57" s="124" t="s">
        <v>27</v>
      </c>
      <c r="K57" s="124" t="s">
        <v>28</v>
      </c>
      <c r="L57" s="125" t="s">
        <v>29</v>
      </c>
      <c r="M57" s="124" t="s">
        <v>30</v>
      </c>
      <c r="N57" s="126" t="s">
        <v>31</v>
      </c>
    </row>
    <row r="58" spans="2:14" x14ac:dyDescent="0.3">
      <c r="B58" s="52">
        <v>120000</v>
      </c>
      <c r="C58" s="45">
        <f>B58 / $G55</f>
        <v>63.829787234042556</v>
      </c>
      <c r="D58" s="45">
        <f>SUM($B55,$C55,$D55,$E55)</f>
        <v>0.44999999999999996</v>
      </c>
      <c r="E58" s="45">
        <f>(B58 * D58) / $G55</f>
        <v>28.723404255319146</v>
      </c>
      <c r="F58" s="45">
        <f>C58 + E58</f>
        <v>92.553191489361694</v>
      </c>
      <c r="G58" s="45">
        <f>F58 * (1+$F55)</f>
        <v>115.69148936170211</v>
      </c>
      <c r="H58" s="127"/>
      <c r="I58" s="45">
        <f>G55 * I55</f>
        <v>275213.19999999995</v>
      </c>
      <c r="J58" s="45">
        <f>_xlfn.IFS(M55 = "Yes",G55 * (J55 + L55),M55 &lt;&gt; "Yes",G55 * (J55))</f>
        <v>173999.99999999997</v>
      </c>
      <c r="K58" s="45">
        <f>I58 - J58</f>
        <v>101213.19999999998</v>
      </c>
      <c r="L58" s="46">
        <f>K58 / I58</f>
        <v>0.36776288346634534</v>
      </c>
      <c r="M58" s="45">
        <f>I58 / 12</f>
        <v>22934.433333333331</v>
      </c>
      <c r="N58" s="47">
        <f>K58 / 12</f>
        <v>8434.4333333333325</v>
      </c>
    </row>
    <row r="59" spans="2:14" x14ac:dyDescent="0.3">
      <c r="B59" s="115"/>
      <c r="C59" s="118"/>
      <c r="D59" s="118"/>
      <c r="E59" s="118"/>
      <c r="F59" s="118"/>
      <c r="G59" s="118"/>
      <c r="H59" s="147"/>
      <c r="I59" s="118"/>
      <c r="J59" s="118"/>
      <c r="K59" s="118"/>
      <c r="L59" s="137"/>
      <c r="M59" s="118"/>
      <c r="N59" s="118"/>
    </row>
    <row r="60" spans="2:14" ht="21" x14ac:dyDescent="0.4">
      <c r="B60" s="49" t="s">
        <v>180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1"/>
    </row>
    <row r="61" spans="2:14" ht="43.2" x14ac:dyDescent="0.3">
      <c r="B61" s="33" t="s">
        <v>1</v>
      </c>
      <c r="C61" s="34" t="s">
        <v>3</v>
      </c>
      <c r="D61" s="34" t="s">
        <v>2</v>
      </c>
      <c r="E61" s="34" t="s">
        <v>4</v>
      </c>
      <c r="F61" s="34" t="s">
        <v>6</v>
      </c>
      <c r="G61" s="34" t="s">
        <v>5</v>
      </c>
      <c r="H61" s="34"/>
      <c r="I61" s="34" t="s">
        <v>19</v>
      </c>
      <c r="J61" s="34" t="s">
        <v>20</v>
      </c>
      <c r="K61" s="34" t="s">
        <v>21</v>
      </c>
      <c r="L61" s="35" t="s">
        <v>22</v>
      </c>
      <c r="M61" s="34" t="s">
        <v>23</v>
      </c>
      <c r="N61" s="36" t="s">
        <v>24</v>
      </c>
    </row>
    <row r="62" spans="2:14" x14ac:dyDescent="0.3">
      <c r="B62" s="55">
        <v>0.13</v>
      </c>
      <c r="C62" s="53">
        <v>0.15</v>
      </c>
      <c r="D62" s="53">
        <v>0.12</v>
      </c>
      <c r="E62" s="53">
        <v>0.1</v>
      </c>
      <c r="F62" s="53">
        <v>0.25</v>
      </c>
      <c r="G62" s="115">
        <v>1880</v>
      </c>
      <c r="H62" s="121"/>
      <c r="I62" s="146">
        <v>146.38999999999999</v>
      </c>
      <c r="J62" s="118">
        <f>F65</f>
        <v>129.65425531914894</v>
      </c>
      <c r="K62" s="118">
        <f>I62 - J62</f>
        <v>16.735744680851042</v>
      </c>
      <c r="L62" s="118">
        <f>1000 / (G62 / 12)</f>
        <v>6.3829787234042561</v>
      </c>
      <c r="M62" s="115" t="s">
        <v>32</v>
      </c>
      <c r="N62" s="119">
        <f>_xlfn.IFS(M62 = "Yes",K62 - L62,M62 = "No",K62)</f>
        <v>16.735744680851042</v>
      </c>
    </row>
    <row r="63" spans="2:14" x14ac:dyDescent="0.3">
      <c r="B63" s="120"/>
      <c r="C63" s="121"/>
      <c r="D63" s="121"/>
      <c r="E63" s="121"/>
      <c r="F63" s="121"/>
      <c r="G63" s="155">
        <v>1700</v>
      </c>
      <c r="I63" s="121"/>
      <c r="J63" s="121"/>
      <c r="K63" s="121"/>
      <c r="L63" s="121"/>
      <c r="M63" s="121"/>
      <c r="N63" s="122"/>
    </row>
    <row r="64" spans="2:14" ht="43.2" x14ac:dyDescent="0.3">
      <c r="B64" s="123" t="s">
        <v>84</v>
      </c>
      <c r="C64" s="124" t="s">
        <v>11</v>
      </c>
      <c r="D64" s="124" t="s">
        <v>12</v>
      </c>
      <c r="E64" s="124" t="s">
        <v>13</v>
      </c>
      <c r="F64" s="124" t="s">
        <v>14</v>
      </c>
      <c r="G64" s="124" t="s">
        <v>15</v>
      </c>
      <c r="H64" s="124"/>
      <c r="I64" s="124" t="s">
        <v>26</v>
      </c>
      <c r="J64" s="124" t="s">
        <v>27</v>
      </c>
      <c r="K64" s="124" t="s">
        <v>28</v>
      </c>
      <c r="L64" s="125" t="s">
        <v>29</v>
      </c>
      <c r="M64" s="124" t="s">
        <v>30</v>
      </c>
      <c r="N64" s="126" t="s">
        <v>31</v>
      </c>
    </row>
    <row r="65" spans="1:16" x14ac:dyDescent="0.3">
      <c r="B65" s="52">
        <v>162500</v>
      </c>
      <c r="C65" s="45">
        <f>B65 / $G62</f>
        <v>86.436170212765958</v>
      </c>
      <c r="D65" s="45">
        <f>SUM($B62,$C62,$D62,$E62)</f>
        <v>0.5</v>
      </c>
      <c r="E65" s="45">
        <f>(B65 * D65) / $G62</f>
        <v>43.218085106382979</v>
      </c>
      <c r="F65" s="45">
        <f>C65 + E65</f>
        <v>129.65425531914894</v>
      </c>
      <c r="G65" s="45">
        <f>F65 * (1+$F62)</f>
        <v>162.06781914893617</v>
      </c>
      <c r="H65" s="127"/>
      <c r="I65" s="45">
        <f>G62 * I62</f>
        <v>275213.19999999995</v>
      </c>
      <c r="J65" s="45">
        <f>_xlfn.IFS(M62 = "Yes",G62 * (J62 + L62),M62 &lt;&gt; "Yes",G62 * (J62))</f>
        <v>243750.00000000003</v>
      </c>
      <c r="K65" s="45">
        <f>I65 - J65</f>
        <v>31463.199999999924</v>
      </c>
      <c r="L65" s="46">
        <f>K65 / I65</f>
        <v>0.11432300485587148</v>
      </c>
      <c r="M65" s="45">
        <f>I65 / 12</f>
        <v>22934.433333333331</v>
      </c>
      <c r="N65" s="47">
        <f>K65 / 12</f>
        <v>2621.933333333327</v>
      </c>
    </row>
    <row r="66" spans="1:16" x14ac:dyDescent="0.3">
      <c r="B66" s="153"/>
      <c r="C66" s="153"/>
      <c r="D66" s="153"/>
      <c r="E66" s="153"/>
      <c r="F66" s="153"/>
      <c r="G66" s="153"/>
      <c r="H66" s="147"/>
      <c r="I66" s="151">
        <f>I65</f>
        <v>275213.19999999995</v>
      </c>
      <c r="J66" s="152">
        <f>G63*J62</f>
        <v>220412.2340425532</v>
      </c>
      <c r="K66" s="148">
        <f>I66 - J66</f>
        <v>54800.965957446751</v>
      </c>
      <c r="L66" s="149">
        <f>K66 / I66</f>
        <v>0.19912186609307533</v>
      </c>
      <c r="M66" s="148">
        <f>I66 / 12</f>
        <v>22934.433333333331</v>
      </c>
      <c r="N66" s="150">
        <f>K66 / 12</f>
        <v>4566.7471631205626</v>
      </c>
    </row>
    <row r="67" spans="1:16" x14ac:dyDescent="0.3">
      <c r="B67" s="153"/>
      <c r="C67" s="153"/>
      <c r="D67" s="153"/>
      <c r="E67" s="153"/>
      <c r="F67" s="153"/>
      <c r="G67" s="153"/>
      <c r="H67" s="147"/>
      <c r="I67" s="153"/>
      <c r="J67" s="153"/>
      <c r="K67" s="153"/>
      <c r="L67" s="154"/>
      <c r="M67" s="153"/>
      <c r="N67" s="153"/>
    </row>
    <row r="68" spans="1:16" x14ac:dyDescent="0.3">
      <c r="B68" s="153"/>
      <c r="C68" s="153"/>
      <c r="D68" s="153"/>
      <c r="E68" s="153"/>
      <c r="F68" s="153"/>
      <c r="G68" s="153"/>
      <c r="H68" s="147"/>
      <c r="I68" s="153"/>
      <c r="J68" s="153"/>
      <c r="K68" s="153"/>
      <c r="L68" s="154"/>
      <c r="M68" s="153"/>
      <c r="N68" s="153"/>
    </row>
    <row r="69" spans="1:16" x14ac:dyDescent="0.3">
      <c r="B69" s="153"/>
      <c r="C69" s="153"/>
      <c r="D69" s="153"/>
      <c r="E69" s="153"/>
      <c r="F69" s="153"/>
      <c r="G69" s="153"/>
      <c r="H69" s="147"/>
      <c r="I69" s="153"/>
      <c r="J69" s="153"/>
      <c r="K69" s="153"/>
      <c r="L69" s="154"/>
      <c r="M69" s="153"/>
      <c r="N69" s="153"/>
    </row>
    <row r="70" spans="1:16" x14ac:dyDescent="0.3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</row>
    <row r="71" spans="1:16" x14ac:dyDescent="0.3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</row>
    <row r="73" spans="1:16" ht="21" x14ac:dyDescent="0.4">
      <c r="B73" s="49" t="s">
        <v>184</v>
      </c>
      <c r="C73" s="60"/>
      <c r="D73" s="50" t="s">
        <v>53</v>
      </c>
      <c r="E73" s="50" t="s">
        <v>53</v>
      </c>
      <c r="F73" s="50" t="s">
        <v>53</v>
      </c>
      <c r="G73" s="50" t="s">
        <v>53</v>
      </c>
      <c r="H73" s="50" t="s">
        <v>53</v>
      </c>
      <c r="I73" s="50" t="s">
        <v>53</v>
      </c>
      <c r="J73" s="50" t="s">
        <v>53</v>
      </c>
      <c r="K73" s="50" t="s">
        <v>53</v>
      </c>
      <c r="L73" s="50" t="s">
        <v>53</v>
      </c>
      <c r="M73" s="50" t="s">
        <v>53</v>
      </c>
      <c r="N73" s="51" t="s">
        <v>53</v>
      </c>
    </row>
    <row r="74" spans="1:16" ht="43.2" x14ac:dyDescent="0.3">
      <c r="B74" s="33" t="s">
        <v>1</v>
      </c>
      <c r="C74" s="34" t="s">
        <v>3</v>
      </c>
      <c r="D74" s="34" t="s">
        <v>2</v>
      </c>
      <c r="E74" s="34" t="s">
        <v>4</v>
      </c>
      <c r="F74" s="34" t="s">
        <v>6</v>
      </c>
      <c r="G74" s="34" t="s">
        <v>5</v>
      </c>
      <c r="H74" s="34"/>
      <c r="I74" s="34" t="s">
        <v>19</v>
      </c>
      <c r="J74" s="34" t="s">
        <v>20</v>
      </c>
      <c r="K74" s="34" t="s">
        <v>21</v>
      </c>
      <c r="L74" s="35" t="s">
        <v>22</v>
      </c>
      <c r="M74" s="34" t="s">
        <v>23</v>
      </c>
      <c r="N74" s="36" t="s">
        <v>24</v>
      </c>
    </row>
    <row r="75" spans="1:16" x14ac:dyDescent="0.3">
      <c r="B75" s="55">
        <v>0.13</v>
      </c>
      <c r="C75" s="59">
        <v>0.1</v>
      </c>
      <c r="D75" s="53">
        <v>0.12</v>
      </c>
      <c r="E75" s="53">
        <v>0.1</v>
      </c>
      <c r="F75" s="53">
        <v>0.25</v>
      </c>
      <c r="G75" s="54">
        <v>1880</v>
      </c>
      <c r="H75" s="37"/>
      <c r="I75" s="56">
        <v>165</v>
      </c>
      <c r="J75" s="29">
        <f>F78</f>
        <v>127.26063829787233</v>
      </c>
      <c r="K75" s="29">
        <f>I75 - J75</f>
        <v>37.739361702127667</v>
      </c>
      <c r="L75" s="29">
        <f>1000 / (G75 / 12)</f>
        <v>6.3829787234042561</v>
      </c>
      <c r="M75" s="54" t="s">
        <v>87</v>
      </c>
      <c r="N75" s="38">
        <f>_xlfn.IFS(M75 = "Yes",K75 - L75,M75 = "No",K75)</f>
        <v>31.35638297872341</v>
      </c>
    </row>
    <row r="76" spans="1:16" x14ac:dyDescent="0.3">
      <c r="B76" s="39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1"/>
    </row>
    <row r="77" spans="1:16" ht="43.2" x14ac:dyDescent="0.3">
      <c r="B77" s="33" t="s">
        <v>10</v>
      </c>
      <c r="C77" s="34" t="s">
        <v>11</v>
      </c>
      <c r="D77" s="34" t="s">
        <v>12</v>
      </c>
      <c r="E77" s="34" t="s">
        <v>13</v>
      </c>
      <c r="F77" s="34" t="s">
        <v>14</v>
      </c>
      <c r="G77" s="34" t="s">
        <v>15</v>
      </c>
      <c r="H77" s="34"/>
      <c r="I77" s="34" t="s">
        <v>26</v>
      </c>
      <c r="J77" s="34" t="s">
        <v>27</v>
      </c>
      <c r="K77" s="34" t="s">
        <v>28</v>
      </c>
      <c r="L77" s="30" t="s">
        <v>29</v>
      </c>
      <c r="M77" s="34" t="s">
        <v>30</v>
      </c>
      <c r="N77" s="36" t="s">
        <v>31</v>
      </c>
    </row>
    <row r="78" spans="1:16" x14ac:dyDescent="0.3">
      <c r="B78" s="52">
        <v>165000</v>
      </c>
      <c r="C78" s="42">
        <f>B78 / $G75</f>
        <v>87.765957446808514</v>
      </c>
      <c r="D78" s="43">
        <f>SUM($B75,$C75,$D75,$E75)</f>
        <v>0.44999999999999996</v>
      </c>
      <c r="E78" s="42">
        <f>(B78 * D78) / $G75</f>
        <v>39.494680851063819</v>
      </c>
      <c r="F78" s="42">
        <f>C78 + E78</f>
        <v>127.26063829787233</v>
      </c>
      <c r="G78" s="42">
        <f>F78 * (1+$F75)</f>
        <v>159.07579787234042</v>
      </c>
      <c r="H78" s="44"/>
      <c r="I78" s="45">
        <f>G75 * I75</f>
        <v>310200</v>
      </c>
      <c r="J78" s="45">
        <f>_xlfn.IFS(M75 = "Yes",G75 * (J75 + L75),M75 &lt;&gt; "Yes",G75 * (J75))</f>
        <v>251249.99999999997</v>
      </c>
      <c r="K78" s="45">
        <f>I78 - J78</f>
        <v>58950.000000000029</v>
      </c>
      <c r="L78" s="46">
        <f>K78 / I78</f>
        <v>0.19003868471953589</v>
      </c>
      <c r="M78" s="45">
        <f>I78 / 12</f>
        <v>25850</v>
      </c>
      <c r="N78" s="47">
        <f>K78 / 12</f>
        <v>4912.5000000000027</v>
      </c>
    </row>
    <row r="80" spans="1:16" ht="21" x14ac:dyDescent="0.4">
      <c r="B80" s="49" t="s">
        <v>185</v>
      </c>
      <c r="C80" s="60"/>
      <c r="D80" s="50" t="s">
        <v>53</v>
      </c>
      <c r="E80" s="50" t="s">
        <v>53</v>
      </c>
      <c r="F80" s="50" t="s">
        <v>53</v>
      </c>
      <c r="G80" s="50" t="s">
        <v>53</v>
      </c>
      <c r="H80" s="50" t="s">
        <v>53</v>
      </c>
      <c r="I80" s="50" t="s">
        <v>53</v>
      </c>
      <c r="J80" s="50" t="s">
        <v>53</v>
      </c>
      <c r="K80" s="50" t="s">
        <v>53</v>
      </c>
      <c r="L80" s="50" t="s">
        <v>53</v>
      </c>
      <c r="M80" s="50" t="s">
        <v>53</v>
      </c>
      <c r="N80" s="51" t="s">
        <v>53</v>
      </c>
    </row>
    <row r="81" spans="2:14" ht="43.2" x14ac:dyDescent="0.3">
      <c r="B81" s="33" t="s">
        <v>1</v>
      </c>
      <c r="C81" s="34" t="s">
        <v>3</v>
      </c>
      <c r="D81" s="34" t="s">
        <v>2</v>
      </c>
      <c r="E81" s="34" t="s">
        <v>4</v>
      </c>
      <c r="F81" s="34" t="s">
        <v>6</v>
      </c>
      <c r="G81" s="34" t="s">
        <v>5</v>
      </c>
      <c r="H81" s="34"/>
      <c r="I81" s="34" t="s">
        <v>19</v>
      </c>
      <c r="J81" s="34" t="s">
        <v>20</v>
      </c>
      <c r="K81" s="34" t="s">
        <v>21</v>
      </c>
      <c r="L81" s="35" t="s">
        <v>22</v>
      </c>
      <c r="M81" s="34" t="s">
        <v>23</v>
      </c>
      <c r="N81" s="36" t="s">
        <v>24</v>
      </c>
    </row>
    <row r="82" spans="2:14" x14ac:dyDescent="0.3">
      <c r="B82" s="55">
        <v>0.13</v>
      </c>
      <c r="C82" s="59">
        <v>0.05</v>
      </c>
      <c r="D82" s="53">
        <v>0.12</v>
      </c>
      <c r="E82" s="53">
        <v>0.1</v>
      </c>
      <c r="F82" s="53">
        <v>0.25</v>
      </c>
      <c r="G82" s="54">
        <v>1880</v>
      </c>
      <c r="H82" s="37"/>
      <c r="I82" s="56">
        <v>125</v>
      </c>
      <c r="J82" s="29">
        <f>F85</f>
        <v>89.361702127659584</v>
      </c>
      <c r="K82" s="29">
        <f>I82 - J82</f>
        <v>35.638297872340416</v>
      </c>
      <c r="L82" s="29">
        <f>1000 / (G82 / 12)</f>
        <v>6.3829787234042561</v>
      </c>
      <c r="M82" s="54" t="s">
        <v>87</v>
      </c>
      <c r="N82" s="38">
        <f>_xlfn.IFS(M82 = "Yes",K82 - L82,M82 = "No",K82)</f>
        <v>29.255319148936159</v>
      </c>
    </row>
    <row r="83" spans="2:14" x14ac:dyDescent="0.3">
      <c r="B83" s="39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1"/>
    </row>
    <row r="84" spans="2:14" ht="43.2" x14ac:dyDescent="0.3">
      <c r="B84" s="33" t="s">
        <v>10</v>
      </c>
      <c r="C84" s="34" t="s">
        <v>11</v>
      </c>
      <c r="D84" s="34" t="s">
        <v>12</v>
      </c>
      <c r="E84" s="34" t="s">
        <v>13</v>
      </c>
      <c r="F84" s="34" t="s">
        <v>14</v>
      </c>
      <c r="G84" s="34" t="s">
        <v>15</v>
      </c>
      <c r="H84" s="34"/>
      <c r="I84" s="34" t="s">
        <v>26</v>
      </c>
      <c r="J84" s="34" t="s">
        <v>27</v>
      </c>
      <c r="K84" s="34" t="s">
        <v>28</v>
      </c>
      <c r="L84" s="30" t="s">
        <v>29</v>
      </c>
      <c r="M84" s="34" t="s">
        <v>30</v>
      </c>
      <c r="N84" s="36" t="s">
        <v>31</v>
      </c>
    </row>
    <row r="85" spans="2:14" x14ac:dyDescent="0.3">
      <c r="B85" s="52">
        <v>120000</v>
      </c>
      <c r="C85" s="42">
        <f>B85 / $G82</f>
        <v>63.829787234042556</v>
      </c>
      <c r="D85" s="43">
        <f>SUM($B82,$C82,$D82,$E82)</f>
        <v>0.4</v>
      </c>
      <c r="E85" s="42">
        <f>(B85 * D85) / $G82</f>
        <v>25.531914893617021</v>
      </c>
      <c r="F85" s="42">
        <f>C85 + E85</f>
        <v>89.361702127659584</v>
      </c>
      <c r="G85" s="42">
        <f>F85 * (1+$F82)</f>
        <v>111.70212765957447</v>
      </c>
      <c r="H85" s="44"/>
      <c r="I85" s="45">
        <f>G82 * I82</f>
        <v>235000</v>
      </c>
      <c r="J85" s="45">
        <f>_xlfn.IFS(M82 = "Yes",G82 * (J82 + L82),M82 &lt;&gt; "Yes",G82 * (J82))</f>
        <v>180000</v>
      </c>
      <c r="K85" s="45">
        <f>I85 - J85</f>
        <v>55000</v>
      </c>
      <c r="L85" s="46">
        <f>K85 / I85</f>
        <v>0.23404255319148937</v>
      </c>
      <c r="M85" s="45">
        <f>I85 / 12</f>
        <v>19583.333333333332</v>
      </c>
      <c r="N85" s="47">
        <f>K85 / 12</f>
        <v>4583.333333333333</v>
      </c>
    </row>
    <row r="88" spans="2:14" ht="21" x14ac:dyDescent="0.4">
      <c r="B88" s="49" t="s">
        <v>186</v>
      </c>
      <c r="C88" s="60"/>
      <c r="D88" s="50" t="s">
        <v>53</v>
      </c>
      <c r="E88" s="50" t="s">
        <v>53</v>
      </c>
      <c r="F88" s="50" t="s">
        <v>53</v>
      </c>
      <c r="G88" s="50" t="s">
        <v>53</v>
      </c>
      <c r="H88" s="50" t="s">
        <v>53</v>
      </c>
      <c r="I88" s="50" t="s">
        <v>53</v>
      </c>
      <c r="J88" s="50" t="s">
        <v>53</v>
      </c>
      <c r="K88" s="50" t="s">
        <v>53</v>
      </c>
      <c r="L88" s="50" t="s">
        <v>53</v>
      </c>
      <c r="M88" s="50" t="s">
        <v>53</v>
      </c>
      <c r="N88" s="51" t="s">
        <v>53</v>
      </c>
    </row>
    <row r="89" spans="2:14" ht="43.2" x14ac:dyDescent="0.3">
      <c r="B89" s="33" t="s">
        <v>1</v>
      </c>
      <c r="C89" s="34" t="s">
        <v>3</v>
      </c>
      <c r="D89" s="34" t="s">
        <v>2</v>
      </c>
      <c r="E89" s="34" t="s">
        <v>4</v>
      </c>
      <c r="F89" s="34" t="s">
        <v>6</v>
      </c>
      <c r="G89" s="34" t="s">
        <v>5</v>
      </c>
      <c r="H89" s="34"/>
      <c r="I89" s="34" t="s">
        <v>19</v>
      </c>
      <c r="J89" s="34" t="s">
        <v>20</v>
      </c>
      <c r="K89" s="34" t="s">
        <v>21</v>
      </c>
      <c r="L89" s="35" t="s">
        <v>22</v>
      </c>
      <c r="M89" s="34" t="s">
        <v>23</v>
      </c>
      <c r="N89" s="36" t="s">
        <v>24</v>
      </c>
    </row>
    <row r="90" spans="2:14" x14ac:dyDescent="0.3">
      <c r="B90" s="55">
        <v>0.13</v>
      </c>
      <c r="C90" s="59">
        <v>0.05</v>
      </c>
      <c r="D90" s="53">
        <v>0.12</v>
      </c>
      <c r="E90" s="53">
        <v>0.1</v>
      </c>
      <c r="F90" s="53">
        <v>0.25</v>
      </c>
      <c r="G90" s="54">
        <v>1880</v>
      </c>
      <c r="H90" s="37"/>
      <c r="I90" s="56">
        <v>146.38999999999999</v>
      </c>
      <c r="J90" s="29">
        <f>F93</f>
        <v>107.97872340425532</v>
      </c>
      <c r="K90" s="29">
        <f>I90 - J90</f>
        <v>38.411276595744667</v>
      </c>
      <c r="L90" s="29">
        <f>1000 / (G90 / 12)</f>
        <v>6.3829787234042561</v>
      </c>
      <c r="M90" s="54" t="s">
        <v>87</v>
      </c>
      <c r="N90" s="38">
        <f>_xlfn.IFS(M90 = "Yes",K90 - L90,M90 = "No",K90)</f>
        <v>32.02829787234041</v>
      </c>
    </row>
    <row r="91" spans="2:14" x14ac:dyDescent="0.3">
      <c r="B91" s="39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1"/>
    </row>
    <row r="92" spans="2:14" ht="43.2" x14ac:dyDescent="0.3">
      <c r="B92" s="33" t="s">
        <v>10</v>
      </c>
      <c r="C92" s="34" t="s">
        <v>11</v>
      </c>
      <c r="D92" s="34" t="s">
        <v>12</v>
      </c>
      <c r="E92" s="34" t="s">
        <v>13</v>
      </c>
      <c r="F92" s="34" t="s">
        <v>14</v>
      </c>
      <c r="G92" s="34" t="s">
        <v>15</v>
      </c>
      <c r="H92" s="34"/>
      <c r="I92" s="34" t="s">
        <v>26</v>
      </c>
      <c r="J92" s="34" t="s">
        <v>27</v>
      </c>
      <c r="K92" s="34" t="s">
        <v>28</v>
      </c>
      <c r="L92" s="30" t="s">
        <v>29</v>
      </c>
      <c r="M92" s="34" t="s">
        <v>30</v>
      </c>
      <c r="N92" s="36" t="s">
        <v>31</v>
      </c>
    </row>
    <row r="93" spans="2:14" x14ac:dyDescent="0.3">
      <c r="B93" s="52">
        <v>145000</v>
      </c>
      <c r="C93" s="42">
        <f>B93 / $G90</f>
        <v>77.127659574468083</v>
      </c>
      <c r="D93" s="43">
        <f>SUM($B90,$C90,$D90,$E90)</f>
        <v>0.4</v>
      </c>
      <c r="E93" s="42">
        <f>(B93 * D93) / $G90</f>
        <v>30.851063829787233</v>
      </c>
      <c r="F93" s="42">
        <f>C93 + E93</f>
        <v>107.97872340425532</v>
      </c>
      <c r="G93" s="42">
        <f>F93 * (1+$F90)</f>
        <v>134.97340425531914</v>
      </c>
      <c r="H93" s="44"/>
      <c r="I93" s="45">
        <f>G90 * I90</f>
        <v>275213.19999999995</v>
      </c>
      <c r="J93" s="45">
        <f>_xlfn.IFS(M90 = "Yes",G90 * (J90 + L90),M90 &lt;&gt; "Yes",G90 * (J90))</f>
        <v>215000</v>
      </c>
      <c r="K93" s="45">
        <f>I93 - J93</f>
        <v>60213.199999999953</v>
      </c>
      <c r="L93" s="46">
        <f>K93 / I93</f>
        <v>0.21878747094979442</v>
      </c>
      <c r="M93" s="45">
        <f>I93 / 12</f>
        <v>22934.433333333331</v>
      </c>
      <c r="N93" s="47">
        <f>K93 / 12</f>
        <v>5017.7666666666628</v>
      </c>
    </row>
    <row r="95" spans="2:14" ht="21" x14ac:dyDescent="0.4">
      <c r="B95" s="49" t="s">
        <v>187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1"/>
    </row>
    <row r="96" spans="2:14" ht="43.2" x14ac:dyDescent="0.3">
      <c r="B96" s="33" t="s">
        <v>1</v>
      </c>
      <c r="C96" s="34" t="s">
        <v>3</v>
      </c>
      <c r="D96" s="34" t="s">
        <v>2</v>
      </c>
      <c r="E96" s="34" t="s">
        <v>4</v>
      </c>
      <c r="F96" s="34" t="s">
        <v>6</v>
      </c>
      <c r="G96" s="34" t="s">
        <v>5</v>
      </c>
      <c r="H96" s="34"/>
      <c r="I96" s="34" t="s">
        <v>19</v>
      </c>
      <c r="J96" s="34" t="s">
        <v>20</v>
      </c>
      <c r="K96" s="34" t="s">
        <v>21</v>
      </c>
      <c r="L96" s="35" t="s">
        <v>22</v>
      </c>
      <c r="M96" s="34" t="s">
        <v>23</v>
      </c>
      <c r="N96" s="36" t="s">
        <v>24</v>
      </c>
    </row>
    <row r="97" spans="2:14" x14ac:dyDescent="0.3">
      <c r="B97" s="55">
        <v>0.13</v>
      </c>
      <c r="C97" s="53">
        <v>0.05</v>
      </c>
      <c r="D97" s="53">
        <v>0.12</v>
      </c>
      <c r="E97" s="53">
        <v>0.1</v>
      </c>
      <c r="F97" s="53">
        <v>0.25</v>
      </c>
      <c r="G97" s="115">
        <v>1880</v>
      </c>
      <c r="H97" s="121"/>
      <c r="I97" s="146">
        <v>146.38999999999999</v>
      </c>
      <c r="J97" s="118">
        <f>F100</f>
        <v>119.14893617021276</v>
      </c>
      <c r="K97" s="118">
        <f>I97 - J97</f>
        <v>27.241063829787223</v>
      </c>
      <c r="L97" s="118">
        <f>1000 / (G97 / 12)</f>
        <v>6.3829787234042561</v>
      </c>
      <c r="M97" s="115" t="s">
        <v>87</v>
      </c>
      <c r="N97" s="119">
        <f>_xlfn.IFS(M97 = "Yes",K97 - L97,M97 = "No",K97)</f>
        <v>20.858085106382966</v>
      </c>
    </row>
    <row r="98" spans="2:14" x14ac:dyDescent="0.3">
      <c r="B98" s="120"/>
      <c r="C98" s="121"/>
      <c r="D98" s="121"/>
      <c r="E98" s="121"/>
      <c r="F98" s="121"/>
      <c r="G98" s="121"/>
      <c r="I98" s="121"/>
      <c r="J98" s="121"/>
      <c r="K98" s="121"/>
      <c r="L98" s="121"/>
      <c r="M98" s="121"/>
      <c r="N98" s="122"/>
    </row>
    <row r="99" spans="2:14" ht="43.2" x14ac:dyDescent="0.3">
      <c r="B99" s="123" t="s">
        <v>84</v>
      </c>
      <c r="C99" s="124" t="s">
        <v>11</v>
      </c>
      <c r="D99" s="124" t="s">
        <v>12</v>
      </c>
      <c r="E99" s="124" t="s">
        <v>13</v>
      </c>
      <c r="F99" s="124" t="s">
        <v>14</v>
      </c>
      <c r="G99" s="124" t="s">
        <v>15</v>
      </c>
      <c r="H99" s="124"/>
      <c r="I99" s="124" t="s">
        <v>26</v>
      </c>
      <c r="J99" s="124" t="s">
        <v>27</v>
      </c>
      <c r="K99" s="124" t="s">
        <v>28</v>
      </c>
      <c r="L99" s="125" t="s">
        <v>29</v>
      </c>
      <c r="M99" s="124" t="s">
        <v>30</v>
      </c>
      <c r="N99" s="126" t="s">
        <v>31</v>
      </c>
    </row>
    <row r="100" spans="2:14" x14ac:dyDescent="0.3">
      <c r="B100" s="52">
        <v>160000</v>
      </c>
      <c r="C100" s="45">
        <f>B100 / $G97</f>
        <v>85.106382978723403</v>
      </c>
      <c r="D100" s="45">
        <f>SUM($B97,$C97,$D97,$E97)</f>
        <v>0.4</v>
      </c>
      <c r="E100" s="45">
        <f>(B100 * D100) / $G97</f>
        <v>34.042553191489361</v>
      </c>
      <c r="F100" s="45">
        <f>C100 + E100</f>
        <v>119.14893617021276</v>
      </c>
      <c r="G100" s="45">
        <f>F100 * (1+$F97)</f>
        <v>148.93617021276594</v>
      </c>
      <c r="H100" s="127"/>
      <c r="I100" s="45">
        <f>G97 * I97</f>
        <v>275213.19999999995</v>
      </c>
      <c r="J100" s="45">
        <f>_xlfn.IFS(M97 = "Yes",G97 * (J97 + L97),M97 &lt;&gt; "Yes",G97 * (J97))</f>
        <v>236000</v>
      </c>
      <c r="K100" s="45">
        <f>I100 - J100</f>
        <v>39213.199999999953</v>
      </c>
      <c r="L100" s="46">
        <f>K100 / I100</f>
        <v>0.14248299136814643</v>
      </c>
      <c r="M100" s="45">
        <f>I100 / 12</f>
        <v>22934.433333333331</v>
      </c>
      <c r="N100" s="47">
        <f>K100 / 12</f>
        <v>3267.7666666666628</v>
      </c>
    </row>
    <row r="102" spans="2:14" ht="21" x14ac:dyDescent="0.4">
      <c r="B102" s="49" t="s">
        <v>188</v>
      </c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1"/>
    </row>
    <row r="103" spans="2:14" ht="43.2" x14ac:dyDescent="0.3">
      <c r="B103" s="33" t="s">
        <v>1</v>
      </c>
      <c r="C103" s="34" t="s">
        <v>3</v>
      </c>
      <c r="D103" s="34" t="s">
        <v>2</v>
      </c>
      <c r="E103" s="34" t="s">
        <v>4</v>
      </c>
      <c r="F103" s="34" t="s">
        <v>6</v>
      </c>
      <c r="G103" s="34" t="s">
        <v>5</v>
      </c>
      <c r="H103" s="34"/>
      <c r="I103" s="34" t="s">
        <v>19</v>
      </c>
      <c r="J103" s="34" t="s">
        <v>20</v>
      </c>
      <c r="K103" s="34" t="s">
        <v>21</v>
      </c>
      <c r="L103" s="35" t="s">
        <v>22</v>
      </c>
      <c r="M103" s="34" t="s">
        <v>23</v>
      </c>
      <c r="N103" s="36" t="s">
        <v>24</v>
      </c>
    </row>
    <row r="104" spans="2:14" x14ac:dyDescent="0.3">
      <c r="B104" s="55">
        <v>0.13</v>
      </c>
      <c r="C104" s="53">
        <v>0.1</v>
      </c>
      <c r="D104" s="53">
        <v>0.12</v>
      </c>
      <c r="E104" s="53">
        <v>0.1</v>
      </c>
      <c r="F104" s="53">
        <v>0.25</v>
      </c>
      <c r="G104" s="115">
        <v>1880</v>
      </c>
      <c r="H104" s="121"/>
      <c r="I104" s="146">
        <v>146.38999999999999</v>
      </c>
      <c r="J104" s="118">
        <f>F107</f>
        <v>107.20744680851064</v>
      </c>
      <c r="K104" s="118">
        <f>I104 - J104</f>
        <v>39.182553191489347</v>
      </c>
      <c r="L104" s="118">
        <f>1000 / (G104 / 12)</f>
        <v>6.3829787234042561</v>
      </c>
      <c r="M104" s="115" t="s">
        <v>32</v>
      </c>
      <c r="N104" s="119">
        <f>_xlfn.IFS(M104 = "Yes",K104 - L104,M104 = "No",K104)</f>
        <v>39.182553191489347</v>
      </c>
    </row>
    <row r="105" spans="2:14" x14ac:dyDescent="0.3">
      <c r="B105" s="120"/>
      <c r="C105" s="121"/>
      <c r="D105" s="121"/>
      <c r="E105" s="121"/>
      <c r="F105" s="121"/>
      <c r="G105" s="121"/>
      <c r="I105" s="121"/>
      <c r="J105" s="121"/>
      <c r="K105" s="121"/>
      <c r="L105" s="121"/>
      <c r="M105" s="121"/>
      <c r="N105" s="122"/>
    </row>
    <row r="106" spans="2:14" ht="43.2" x14ac:dyDescent="0.3">
      <c r="B106" s="123" t="s">
        <v>84</v>
      </c>
      <c r="C106" s="124" t="s">
        <v>11</v>
      </c>
      <c r="D106" s="124" t="s">
        <v>12</v>
      </c>
      <c r="E106" s="124" t="s">
        <v>13</v>
      </c>
      <c r="F106" s="124" t="s">
        <v>14</v>
      </c>
      <c r="G106" s="124" t="s">
        <v>15</v>
      </c>
      <c r="H106" s="124"/>
      <c r="I106" s="124" t="s">
        <v>26</v>
      </c>
      <c r="J106" s="124" t="s">
        <v>27</v>
      </c>
      <c r="K106" s="124" t="s">
        <v>28</v>
      </c>
      <c r="L106" s="125" t="s">
        <v>29</v>
      </c>
      <c r="M106" s="124" t="s">
        <v>30</v>
      </c>
      <c r="N106" s="126" t="s">
        <v>31</v>
      </c>
    </row>
    <row r="107" spans="2:14" x14ac:dyDescent="0.3">
      <c r="B107" s="52">
        <v>139000</v>
      </c>
      <c r="C107" s="45">
        <f>B107 / $G104</f>
        <v>73.936170212765958</v>
      </c>
      <c r="D107" s="45">
        <f>SUM($B104,$C104,$D104,$E104)</f>
        <v>0.44999999999999996</v>
      </c>
      <c r="E107" s="45">
        <f>(B107 * D107) / $G104</f>
        <v>33.271276595744673</v>
      </c>
      <c r="F107" s="45">
        <f>C107 + E107</f>
        <v>107.20744680851064</v>
      </c>
      <c r="G107" s="45">
        <f>F107 * (1+$F104)</f>
        <v>134.00930851063831</v>
      </c>
      <c r="H107" s="127"/>
      <c r="I107" s="45">
        <f>G104 * I104</f>
        <v>275213.19999999995</v>
      </c>
      <c r="J107" s="45">
        <f>_xlfn.IFS(M104 = "Yes",G104 * (J104 + L104),M104 &lt;&gt; "Yes",G104 * (J104))</f>
        <v>201550</v>
      </c>
      <c r="K107" s="45">
        <f>I107 - J107</f>
        <v>73663.199999999953</v>
      </c>
      <c r="L107" s="46">
        <f>K107 / I107</f>
        <v>0.26765867334851656</v>
      </c>
      <c r="M107" s="45">
        <f>I107 / 12</f>
        <v>22934.433333333331</v>
      </c>
      <c r="N107" s="47">
        <f>K107 / 12</f>
        <v>6138.5999999999958</v>
      </c>
    </row>
    <row r="109" spans="2:14" ht="21" x14ac:dyDescent="0.4">
      <c r="B109" s="49" t="s">
        <v>178</v>
      </c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1"/>
    </row>
    <row r="110" spans="2:14" ht="43.2" x14ac:dyDescent="0.3">
      <c r="B110" s="33" t="s">
        <v>1</v>
      </c>
      <c r="C110" s="34" t="s">
        <v>3</v>
      </c>
      <c r="D110" s="34" t="s">
        <v>2</v>
      </c>
      <c r="E110" s="34" t="s">
        <v>4</v>
      </c>
      <c r="F110" s="34" t="s">
        <v>6</v>
      </c>
      <c r="G110" s="34" t="s">
        <v>5</v>
      </c>
      <c r="H110" s="34"/>
      <c r="I110" s="34" t="s">
        <v>19</v>
      </c>
      <c r="J110" s="34" t="s">
        <v>20</v>
      </c>
      <c r="K110" s="34" t="s">
        <v>21</v>
      </c>
      <c r="L110" s="35" t="s">
        <v>22</v>
      </c>
      <c r="M110" s="34" t="s">
        <v>23</v>
      </c>
      <c r="N110" s="36" t="s">
        <v>24</v>
      </c>
    </row>
    <row r="111" spans="2:14" x14ac:dyDescent="0.3">
      <c r="B111" s="55">
        <v>0.13</v>
      </c>
      <c r="C111" s="53">
        <v>0.1</v>
      </c>
      <c r="D111" s="53">
        <v>0.12</v>
      </c>
      <c r="E111" s="53">
        <v>0.1</v>
      </c>
      <c r="F111" s="53">
        <v>0.25</v>
      </c>
      <c r="G111" s="115">
        <v>1880</v>
      </c>
      <c r="H111" s="121"/>
      <c r="I111" s="146">
        <v>146.38999999999999</v>
      </c>
      <c r="J111" s="118">
        <f>F114</f>
        <v>84.840425531914889</v>
      </c>
      <c r="K111" s="118">
        <f>I111 - J111</f>
        <v>61.549574468085098</v>
      </c>
      <c r="L111" s="118">
        <f>1000 / (G111 / 12)</f>
        <v>6.3829787234042561</v>
      </c>
      <c r="M111" s="115" t="s">
        <v>32</v>
      </c>
      <c r="N111" s="119">
        <f>_xlfn.IFS(M111 = "Yes",K111 - L111,M111 = "No",K111)</f>
        <v>61.549574468085098</v>
      </c>
    </row>
    <row r="112" spans="2:14" x14ac:dyDescent="0.3">
      <c r="B112" s="120"/>
      <c r="C112" s="121"/>
      <c r="D112" s="121"/>
      <c r="E112" s="121"/>
      <c r="F112" s="121"/>
      <c r="G112" s="121"/>
      <c r="I112" s="121"/>
      <c r="J112" s="121"/>
      <c r="K112" s="121"/>
      <c r="L112" s="121"/>
      <c r="M112" s="121"/>
      <c r="N112" s="122"/>
    </row>
    <row r="113" spans="2:14" ht="43.2" x14ac:dyDescent="0.3">
      <c r="B113" s="123" t="s">
        <v>84</v>
      </c>
      <c r="C113" s="124" t="s">
        <v>11</v>
      </c>
      <c r="D113" s="124" t="s">
        <v>12</v>
      </c>
      <c r="E113" s="124" t="s">
        <v>13</v>
      </c>
      <c r="F113" s="124" t="s">
        <v>14</v>
      </c>
      <c r="G113" s="124" t="s">
        <v>15</v>
      </c>
      <c r="H113" s="124"/>
      <c r="I113" s="124" t="s">
        <v>26</v>
      </c>
      <c r="J113" s="124" t="s">
        <v>27</v>
      </c>
      <c r="K113" s="124" t="s">
        <v>28</v>
      </c>
      <c r="L113" s="125" t="s">
        <v>29</v>
      </c>
      <c r="M113" s="124" t="s">
        <v>30</v>
      </c>
      <c r="N113" s="126" t="s">
        <v>31</v>
      </c>
    </row>
    <row r="114" spans="2:14" x14ac:dyDescent="0.3">
      <c r="B114" s="52">
        <v>110000</v>
      </c>
      <c r="C114" s="45">
        <f>B114 / $G111</f>
        <v>58.51063829787234</v>
      </c>
      <c r="D114" s="45">
        <f>SUM($B111,$C111,$D111,$E111)</f>
        <v>0.44999999999999996</v>
      </c>
      <c r="E114" s="45">
        <f>(B114 * D114) / $G111</f>
        <v>26.329787234042549</v>
      </c>
      <c r="F114" s="45">
        <f>C114 + E114</f>
        <v>84.840425531914889</v>
      </c>
      <c r="G114" s="45">
        <f>F114 * (1+$F111)</f>
        <v>106.05053191489361</v>
      </c>
      <c r="H114" s="127"/>
      <c r="I114" s="45">
        <f>G111 * I111</f>
        <v>275213.19999999995</v>
      </c>
      <c r="J114" s="45">
        <f>_xlfn.IFS(M111 = "Yes",G111 * (J111 + L111),M111 &lt;&gt; "Yes",G111 * (J111))</f>
        <v>159500</v>
      </c>
      <c r="K114" s="45">
        <f>I114 - J114</f>
        <v>115713.19999999995</v>
      </c>
      <c r="L114" s="46">
        <f>K114 / I114</f>
        <v>0.4204493098441498</v>
      </c>
      <c r="M114" s="45">
        <f>I114 / 12</f>
        <v>22934.433333333331</v>
      </c>
      <c r="N114" s="47">
        <f>K114 / 12</f>
        <v>9642.7666666666628</v>
      </c>
    </row>
    <row r="116" spans="2:14" ht="21" x14ac:dyDescent="0.4">
      <c r="B116" s="49" t="s">
        <v>189</v>
      </c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1"/>
    </row>
    <row r="117" spans="2:14" ht="43.2" x14ac:dyDescent="0.3">
      <c r="B117" s="33" t="s">
        <v>1</v>
      </c>
      <c r="C117" s="34" t="s">
        <v>3</v>
      </c>
      <c r="D117" s="34" t="s">
        <v>2</v>
      </c>
      <c r="E117" s="34" t="s">
        <v>4</v>
      </c>
      <c r="F117" s="34" t="s">
        <v>6</v>
      </c>
      <c r="G117" s="34" t="s">
        <v>5</v>
      </c>
      <c r="H117" s="34"/>
      <c r="I117" s="34" t="s">
        <v>19</v>
      </c>
      <c r="J117" s="34" t="s">
        <v>20</v>
      </c>
      <c r="K117" s="34" t="s">
        <v>21</v>
      </c>
      <c r="L117" s="35" t="s">
        <v>22</v>
      </c>
      <c r="M117" s="34" t="s">
        <v>23</v>
      </c>
      <c r="N117" s="36" t="s">
        <v>24</v>
      </c>
    </row>
    <row r="118" spans="2:14" x14ac:dyDescent="0.3">
      <c r="B118" s="55">
        <v>0.03</v>
      </c>
      <c r="C118" s="53">
        <v>0.1</v>
      </c>
      <c r="D118" s="53">
        <v>0.12</v>
      </c>
      <c r="E118" s="53">
        <v>0.1</v>
      </c>
      <c r="F118" s="53">
        <v>0.25</v>
      </c>
      <c r="G118" s="115">
        <v>1880</v>
      </c>
      <c r="H118" s="121"/>
      <c r="I118" s="146">
        <v>146</v>
      </c>
      <c r="J118" s="118">
        <f>F121</f>
        <v>114.8936170212766</v>
      </c>
      <c r="K118" s="118">
        <f>I118 - J118</f>
        <v>31.106382978723403</v>
      </c>
      <c r="L118" s="118">
        <f>1000 / (G118 / 12)</f>
        <v>6.3829787234042561</v>
      </c>
      <c r="M118" s="115" t="s">
        <v>87</v>
      </c>
      <c r="N118" s="119">
        <f>_xlfn.IFS(M118 = "Yes",K118 - L118,M118 = "No",K118)</f>
        <v>24.723404255319146</v>
      </c>
    </row>
    <row r="119" spans="2:14" x14ac:dyDescent="0.3">
      <c r="B119" s="120"/>
      <c r="C119" s="121"/>
      <c r="D119" s="121"/>
      <c r="E119" s="121"/>
      <c r="F119" s="121"/>
      <c r="G119" s="121"/>
      <c r="I119" s="121"/>
      <c r="J119" s="121"/>
      <c r="K119" s="121"/>
      <c r="L119" s="121"/>
      <c r="M119" s="121"/>
      <c r="N119" s="122"/>
    </row>
    <row r="120" spans="2:14" ht="43.2" x14ac:dyDescent="0.3">
      <c r="B120" s="123" t="s">
        <v>84</v>
      </c>
      <c r="C120" s="124" t="s">
        <v>11</v>
      </c>
      <c r="D120" s="124" t="s">
        <v>12</v>
      </c>
      <c r="E120" s="124" t="s">
        <v>13</v>
      </c>
      <c r="F120" s="124" t="s">
        <v>14</v>
      </c>
      <c r="G120" s="124" t="s">
        <v>15</v>
      </c>
      <c r="H120" s="124"/>
      <c r="I120" s="124" t="s">
        <v>26</v>
      </c>
      <c r="J120" s="124" t="s">
        <v>27</v>
      </c>
      <c r="K120" s="124" t="s">
        <v>28</v>
      </c>
      <c r="L120" s="125" t="s">
        <v>29</v>
      </c>
      <c r="M120" s="124" t="s">
        <v>30</v>
      </c>
      <c r="N120" s="126" t="s">
        <v>31</v>
      </c>
    </row>
    <row r="121" spans="2:14" x14ac:dyDescent="0.3">
      <c r="B121" s="52">
        <v>160000</v>
      </c>
      <c r="C121" s="45">
        <f>B121 / $G118</f>
        <v>85.106382978723403</v>
      </c>
      <c r="D121" s="45">
        <f>SUM($B118,$C118,$D118,$E118)</f>
        <v>0.35</v>
      </c>
      <c r="E121" s="45">
        <f>(B121 * D121) / $G118</f>
        <v>29.787234042553191</v>
      </c>
      <c r="F121" s="45">
        <f>C121 + E121</f>
        <v>114.8936170212766</v>
      </c>
      <c r="G121" s="45">
        <f>F121 * (1+$F118)</f>
        <v>143.61702127659575</v>
      </c>
      <c r="H121" s="127"/>
      <c r="I121" s="45">
        <f>G118 * I118</f>
        <v>274480</v>
      </c>
      <c r="J121" s="45">
        <f>_xlfn.IFS(M118 = "Yes",G118 * (J118 + L118),M118 &lt;&gt; "Yes",G118 * (J118))</f>
        <v>228000</v>
      </c>
      <c r="K121" s="45">
        <f>I121 - J121</f>
        <v>46480</v>
      </c>
      <c r="L121" s="46">
        <f>K121 / I121</f>
        <v>0.16933838531040513</v>
      </c>
      <c r="M121" s="45">
        <f>I121 / 12</f>
        <v>22873.333333333332</v>
      </c>
      <c r="N121" s="47">
        <f>K121 / 12</f>
        <v>3873.3333333333335</v>
      </c>
    </row>
    <row r="123" spans="2:14" ht="21" x14ac:dyDescent="0.4">
      <c r="B123" s="49" t="s">
        <v>167</v>
      </c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1"/>
    </row>
    <row r="124" spans="2:14" ht="43.2" x14ac:dyDescent="0.3">
      <c r="B124" s="33" t="s">
        <v>1</v>
      </c>
      <c r="C124" s="34" t="s">
        <v>3</v>
      </c>
      <c r="D124" s="34" t="s">
        <v>2</v>
      </c>
      <c r="E124" s="34" t="s">
        <v>4</v>
      </c>
      <c r="F124" s="34" t="s">
        <v>6</v>
      </c>
      <c r="G124" s="34" t="s">
        <v>5</v>
      </c>
      <c r="H124" s="34"/>
      <c r="I124" s="34" t="s">
        <v>19</v>
      </c>
      <c r="J124" s="34" t="s">
        <v>20</v>
      </c>
      <c r="K124" s="34" t="s">
        <v>21</v>
      </c>
      <c r="L124" s="35" t="s">
        <v>22</v>
      </c>
      <c r="M124" s="34" t="s">
        <v>23</v>
      </c>
      <c r="N124" s="36" t="s">
        <v>24</v>
      </c>
    </row>
    <row r="125" spans="2:14" x14ac:dyDescent="0.3">
      <c r="B125" s="55">
        <v>0.13</v>
      </c>
      <c r="C125" s="53">
        <v>0.1</v>
      </c>
      <c r="D125" s="53">
        <v>0.12</v>
      </c>
      <c r="E125" s="53">
        <v>0.1</v>
      </c>
      <c r="F125" s="53">
        <v>0.25</v>
      </c>
      <c r="G125" s="115">
        <v>1880</v>
      </c>
      <c r="H125" s="121"/>
      <c r="I125" s="146">
        <v>166</v>
      </c>
      <c r="J125" s="118">
        <f>F128</f>
        <v>134.97340425531914</v>
      </c>
      <c r="K125" s="118">
        <f>I125 - J125</f>
        <v>31.026595744680861</v>
      </c>
      <c r="L125" s="118">
        <f>1000 / (G125 / 12)</f>
        <v>6.3829787234042561</v>
      </c>
      <c r="M125" s="115" t="s">
        <v>87</v>
      </c>
      <c r="N125" s="119">
        <f>_xlfn.IFS(M125 = "Yes",K125 - L125,M125 = "No",K125)</f>
        <v>24.643617021276604</v>
      </c>
    </row>
    <row r="126" spans="2:14" x14ac:dyDescent="0.3">
      <c r="B126" s="120"/>
      <c r="C126" s="121"/>
      <c r="D126" s="121"/>
      <c r="E126" s="121"/>
      <c r="F126" s="121"/>
      <c r="G126" s="121"/>
      <c r="I126" s="121"/>
      <c r="J126" s="121"/>
      <c r="K126" s="121"/>
      <c r="L126" s="121"/>
      <c r="M126" s="121"/>
      <c r="N126" s="122"/>
    </row>
    <row r="127" spans="2:14" ht="43.2" x14ac:dyDescent="0.3">
      <c r="B127" s="123" t="s">
        <v>84</v>
      </c>
      <c r="C127" s="124" t="s">
        <v>11</v>
      </c>
      <c r="D127" s="124" t="s">
        <v>12</v>
      </c>
      <c r="E127" s="124" t="s">
        <v>13</v>
      </c>
      <c r="F127" s="124" t="s">
        <v>14</v>
      </c>
      <c r="G127" s="124" t="s">
        <v>15</v>
      </c>
      <c r="H127" s="124"/>
      <c r="I127" s="124" t="s">
        <v>26</v>
      </c>
      <c r="J127" s="124" t="s">
        <v>27</v>
      </c>
      <c r="K127" s="124" t="s">
        <v>28</v>
      </c>
      <c r="L127" s="125" t="s">
        <v>29</v>
      </c>
      <c r="M127" s="124" t="s">
        <v>30</v>
      </c>
      <c r="N127" s="126" t="s">
        <v>31</v>
      </c>
    </row>
    <row r="128" spans="2:14" x14ac:dyDescent="0.3">
      <c r="B128" s="52">
        <v>175000</v>
      </c>
      <c r="C128" s="45">
        <f>B128 / $G125</f>
        <v>93.085106382978722</v>
      </c>
      <c r="D128" s="45">
        <f>SUM($B125,$C125,$D125,$E125)</f>
        <v>0.44999999999999996</v>
      </c>
      <c r="E128" s="45">
        <f>(B128 * D128) / $G125</f>
        <v>41.888297872340416</v>
      </c>
      <c r="F128" s="45">
        <f>C128 + E128</f>
        <v>134.97340425531914</v>
      </c>
      <c r="G128" s="45">
        <f>F128 * (1+$F125)</f>
        <v>168.71675531914892</v>
      </c>
      <c r="H128" s="127"/>
      <c r="I128" s="45">
        <f>G125 * I125</f>
        <v>312080</v>
      </c>
      <c r="J128" s="45">
        <f>_xlfn.IFS(M125 = "Yes",G125 * (J125 + L125),M125 &lt;&gt; "Yes",G125 * (J125))</f>
        <v>265749.99999999994</v>
      </c>
      <c r="K128" s="45">
        <f>I128 - J128</f>
        <v>46330.000000000058</v>
      </c>
      <c r="L128" s="46">
        <f>K128 / I128</f>
        <v>0.14845552422455799</v>
      </c>
      <c r="M128" s="45">
        <f>I128 / 12</f>
        <v>26006.666666666668</v>
      </c>
      <c r="N128" s="47">
        <f>K128 / 12</f>
        <v>3860.833333333338</v>
      </c>
    </row>
    <row r="130" spans="2:14" ht="21" x14ac:dyDescent="0.4">
      <c r="B130" s="49" t="s">
        <v>190</v>
      </c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1"/>
    </row>
    <row r="131" spans="2:14" ht="43.2" x14ac:dyDescent="0.3">
      <c r="B131" s="33" t="s">
        <v>1</v>
      </c>
      <c r="C131" s="34" t="s">
        <v>3</v>
      </c>
      <c r="D131" s="34" t="s">
        <v>2</v>
      </c>
      <c r="E131" s="34" t="s">
        <v>4</v>
      </c>
      <c r="F131" s="34" t="s">
        <v>6</v>
      </c>
      <c r="G131" s="34" t="s">
        <v>5</v>
      </c>
      <c r="H131" s="34"/>
      <c r="I131" s="34" t="s">
        <v>19</v>
      </c>
      <c r="J131" s="34" t="s">
        <v>20</v>
      </c>
      <c r="K131" s="34" t="s">
        <v>21</v>
      </c>
      <c r="L131" s="35" t="s">
        <v>22</v>
      </c>
      <c r="M131" s="34" t="s">
        <v>23</v>
      </c>
      <c r="N131" s="36" t="s">
        <v>24</v>
      </c>
    </row>
    <row r="132" spans="2:14" x14ac:dyDescent="0.3">
      <c r="B132" s="55">
        <v>0.13</v>
      </c>
      <c r="C132" s="53">
        <v>0.1</v>
      </c>
      <c r="D132" s="53">
        <v>0.12</v>
      </c>
      <c r="E132" s="53">
        <v>0.1</v>
      </c>
      <c r="F132" s="53">
        <v>0.25</v>
      </c>
      <c r="G132" s="115">
        <v>1880</v>
      </c>
      <c r="H132" s="121"/>
      <c r="I132" s="146">
        <v>166</v>
      </c>
      <c r="J132" s="118">
        <f>F135</f>
        <v>134.97340425531914</v>
      </c>
      <c r="K132" s="118">
        <f>I132 - J132</f>
        <v>31.026595744680861</v>
      </c>
      <c r="L132" s="118">
        <f>1000 / (G132 / 12)</f>
        <v>6.3829787234042561</v>
      </c>
      <c r="M132" s="115" t="s">
        <v>87</v>
      </c>
      <c r="N132" s="119">
        <f>_xlfn.IFS(M132 = "Yes",K132 - L132,M132 = "No",K132)</f>
        <v>24.643617021276604</v>
      </c>
    </row>
    <row r="133" spans="2:14" x14ac:dyDescent="0.3">
      <c r="B133" s="120"/>
      <c r="C133" s="121"/>
      <c r="D133" s="121"/>
      <c r="E133" s="121"/>
      <c r="F133" s="121"/>
      <c r="G133" s="121"/>
      <c r="I133" s="121"/>
      <c r="J133" s="121"/>
      <c r="K133" s="121"/>
      <c r="L133" s="121"/>
      <c r="M133" s="121"/>
      <c r="N133" s="122"/>
    </row>
    <row r="134" spans="2:14" ht="43.2" x14ac:dyDescent="0.3">
      <c r="B134" s="123" t="s">
        <v>84</v>
      </c>
      <c r="C134" s="124" t="s">
        <v>11</v>
      </c>
      <c r="D134" s="124" t="s">
        <v>12</v>
      </c>
      <c r="E134" s="124" t="s">
        <v>13</v>
      </c>
      <c r="F134" s="124" t="s">
        <v>14</v>
      </c>
      <c r="G134" s="124" t="s">
        <v>15</v>
      </c>
      <c r="H134" s="124"/>
      <c r="I134" s="124" t="s">
        <v>26</v>
      </c>
      <c r="J134" s="124" t="s">
        <v>27</v>
      </c>
      <c r="K134" s="124" t="s">
        <v>28</v>
      </c>
      <c r="L134" s="125" t="s">
        <v>29</v>
      </c>
      <c r="M134" s="124" t="s">
        <v>30</v>
      </c>
      <c r="N134" s="126" t="s">
        <v>31</v>
      </c>
    </row>
    <row r="135" spans="2:14" x14ac:dyDescent="0.3">
      <c r="B135" s="52">
        <v>175000</v>
      </c>
      <c r="C135" s="45">
        <f>B135 / $G132</f>
        <v>93.085106382978722</v>
      </c>
      <c r="D135" s="45">
        <f>SUM($B132,$C132,$D132,$E132)</f>
        <v>0.44999999999999996</v>
      </c>
      <c r="E135" s="45">
        <f>(B135 * D135) / $G132</f>
        <v>41.888297872340416</v>
      </c>
      <c r="F135" s="45">
        <f>C135 + E135</f>
        <v>134.97340425531914</v>
      </c>
      <c r="G135" s="45">
        <f>F135 * (1+$F132)</f>
        <v>168.71675531914892</v>
      </c>
      <c r="H135" s="127"/>
      <c r="I135" s="45">
        <f>G132 * I132</f>
        <v>312080</v>
      </c>
      <c r="J135" s="45">
        <f>_xlfn.IFS(M132 = "Yes",G132 * (J132 + L132),M132 &lt;&gt; "Yes",G132 * (J132))</f>
        <v>265749.99999999994</v>
      </c>
      <c r="K135" s="45">
        <f>I135 - J135</f>
        <v>46330.000000000058</v>
      </c>
      <c r="L135" s="46">
        <f>K135 / I135</f>
        <v>0.14845552422455799</v>
      </c>
      <c r="M135" s="45">
        <f>I135 / 12</f>
        <v>26006.666666666668</v>
      </c>
      <c r="N135" s="47">
        <f>K135 / 12</f>
        <v>3860.833333333338</v>
      </c>
    </row>
    <row r="137" spans="2:14" ht="21" x14ac:dyDescent="0.4">
      <c r="B137" s="49" t="s">
        <v>191</v>
      </c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1"/>
    </row>
    <row r="138" spans="2:14" ht="43.2" x14ac:dyDescent="0.3">
      <c r="B138" s="33" t="s">
        <v>1</v>
      </c>
      <c r="C138" s="34" t="s">
        <v>3</v>
      </c>
      <c r="D138" s="34" t="s">
        <v>2</v>
      </c>
      <c r="E138" s="34" t="s">
        <v>4</v>
      </c>
      <c r="F138" s="34" t="s">
        <v>6</v>
      </c>
      <c r="G138" s="34" t="s">
        <v>5</v>
      </c>
      <c r="H138" s="34"/>
      <c r="I138" s="34" t="s">
        <v>19</v>
      </c>
      <c r="J138" s="34" t="s">
        <v>20</v>
      </c>
      <c r="K138" s="34" t="s">
        <v>21</v>
      </c>
      <c r="L138" s="35" t="s">
        <v>22</v>
      </c>
      <c r="M138" s="34" t="s">
        <v>23</v>
      </c>
      <c r="N138" s="36" t="s">
        <v>24</v>
      </c>
    </row>
    <row r="139" spans="2:14" x14ac:dyDescent="0.3">
      <c r="B139" s="55">
        <v>0.13</v>
      </c>
      <c r="C139" s="53">
        <v>0.1</v>
      </c>
      <c r="D139" s="53">
        <v>0.12</v>
      </c>
      <c r="E139" s="53">
        <v>0.1</v>
      </c>
      <c r="F139" s="53">
        <v>0.25</v>
      </c>
      <c r="G139" s="115">
        <v>1880</v>
      </c>
      <c r="H139" s="121"/>
      <c r="I139" s="146">
        <v>166</v>
      </c>
      <c r="J139" s="118">
        <f>F142</f>
        <v>134.97340425531914</v>
      </c>
      <c r="K139" s="118">
        <f>I139 - J139</f>
        <v>31.026595744680861</v>
      </c>
      <c r="L139" s="118">
        <f>1000 / (G139 / 12)</f>
        <v>6.3829787234042561</v>
      </c>
      <c r="M139" s="115" t="s">
        <v>87</v>
      </c>
      <c r="N139" s="119">
        <f>_xlfn.IFS(M139 = "Yes",K139 - L139,M139 = "No",K139)</f>
        <v>24.643617021276604</v>
      </c>
    </row>
    <row r="140" spans="2:14" x14ac:dyDescent="0.3">
      <c r="B140" s="120"/>
      <c r="C140" s="121"/>
      <c r="D140" s="121"/>
      <c r="E140" s="121"/>
      <c r="F140" s="121"/>
      <c r="G140" s="121"/>
      <c r="I140" s="121"/>
      <c r="J140" s="121"/>
      <c r="K140" s="121"/>
      <c r="L140" s="121"/>
      <c r="M140" s="121"/>
      <c r="N140" s="122"/>
    </row>
    <row r="141" spans="2:14" ht="43.2" x14ac:dyDescent="0.3">
      <c r="B141" s="123" t="s">
        <v>84</v>
      </c>
      <c r="C141" s="124" t="s">
        <v>11</v>
      </c>
      <c r="D141" s="124" t="s">
        <v>12</v>
      </c>
      <c r="E141" s="124" t="s">
        <v>13</v>
      </c>
      <c r="F141" s="124" t="s">
        <v>14</v>
      </c>
      <c r="G141" s="124" t="s">
        <v>15</v>
      </c>
      <c r="H141" s="124"/>
      <c r="I141" s="124" t="s">
        <v>26</v>
      </c>
      <c r="J141" s="124" t="s">
        <v>27</v>
      </c>
      <c r="K141" s="124" t="s">
        <v>28</v>
      </c>
      <c r="L141" s="125" t="s">
        <v>29</v>
      </c>
      <c r="M141" s="124" t="s">
        <v>30</v>
      </c>
      <c r="N141" s="126" t="s">
        <v>31</v>
      </c>
    </row>
    <row r="142" spans="2:14" x14ac:dyDescent="0.3">
      <c r="B142" s="52">
        <v>175000</v>
      </c>
      <c r="C142" s="45">
        <f>B142 / $G139</f>
        <v>93.085106382978722</v>
      </c>
      <c r="D142" s="45">
        <f>SUM($B139,$C139,$D139,$E139)</f>
        <v>0.44999999999999996</v>
      </c>
      <c r="E142" s="45">
        <f>(B142 * D142) / $G139</f>
        <v>41.888297872340416</v>
      </c>
      <c r="F142" s="45">
        <f>C142 + E142</f>
        <v>134.97340425531914</v>
      </c>
      <c r="G142" s="45">
        <f>F142 * (1+$F139)</f>
        <v>168.71675531914892</v>
      </c>
      <c r="H142" s="127"/>
      <c r="I142" s="45">
        <f>G139 * I139</f>
        <v>312080</v>
      </c>
      <c r="J142" s="45">
        <f>_xlfn.IFS(M139 = "Yes",G139 * (J139 + L139),M139 &lt;&gt; "Yes",G139 * (J139))</f>
        <v>265749.99999999994</v>
      </c>
      <c r="K142" s="45">
        <f>I142 - J142</f>
        <v>46330.000000000058</v>
      </c>
      <c r="L142" s="46">
        <f>K142 / I142</f>
        <v>0.14845552422455799</v>
      </c>
      <c r="M142" s="45">
        <f>I142 / 12</f>
        <v>26006.666666666668</v>
      </c>
      <c r="N142" s="47">
        <f>K142 / 12</f>
        <v>3860.833333333338</v>
      </c>
    </row>
    <row r="144" spans="2:14" ht="21" x14ac:dyDescent="0.4">
      <c r="B144" s="49" t="s">
        <v>192</v>
      </c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1"/>
    </row>
    <row r="145" spans="2:14" ht="43.2" x14ac:dyDescent="0.3">
      <c r="B145" s="33" t="s">
        <v>1</v>
      </c>
      <c r="C145" s="34" t="s">
        <v>3</v>
      </c>
      <c r="D145" s="34" t="s">
        <v>2</v>
      </c>
      <c r="E145" s="34" t="s">
        <v>4</v>
      </c>
      <c r="F145" s="34" t="s">
        <v>6</v>
      </c>
      <c r="G145" s="34" t="s">
        <v>5</v>
      </c>
      <c r="H145" s="34"/>
      <c r="I145" s="34" t="s">
        <v>19</v>
      </c>
      <c r="J145" s="34" t="s">
        <v>20</v>
      </c>
      <c r="K145" s="34" t="s">
        <v>21</v>
      </c>
      <c r="L145" s="35" t="s">
        <v>22</v>
      </c>
      <c r="M145" s="34" t="s">
        <v>23</v>
      </c>
      <c r="N145" s="36" t="s">
        <v>24</v>
      </c>
    </row>
    <row r="146" spans="2:14" x14ac:dyDescent="0.3">
      <c r="B146" s="55">
        <v>0.13</v>
      </c>
      <c r="C146" s="53">
        <v>0.1</v>
      </c>
      <c r="D146" s="53">
        <v>0.12</v>
      </c>
      <c r="E146" s="53">
        <v>0.1</v>
      </c>
      <c r="F146" s="53">
        <v>0.25</v>
      </c>
      <c r="G146" s="115">
        <v>1880</v>
      </c>
      <c r="H146" s="121"/>
      <c r="I146" s="146">
        <v>166</v>
      </c>
      <c r="J146" s="118">
        <f>F149</f>
        <v>134.97340425531914</v>
      </c>
      <c r="K146" s="118">
        <f>I146 - J146</f>
        <v>31.026595744680861</v>
      </c>
      <c r="L146" s="118">
        <f>1000 / (G146 / 12)</f>
        <v>6.3829787234042561</v>
      </c>
      <c r="M146" s="115" t="s">
        <v>87</v>
      </c>
      <c r="N146" s="119">
        <f>_xlfn.IFS(M146 = "Yes",K146 - L146,M146 = "No",K146)</f>
        <v>24.643617021276604</v>
      </c>
    </row>
    <row r="147" spans="2:14" x14ac:dyDescent="0.3">
      <c r="B147" s="120"/>
      <c r="C147" s="121"/>
      <c r="D147" s="121"/>
      <c r="E147" s="121"/>
      <c r="F147" s="121"/>
      <c r="G147" s="121"/>
      <c r="I147" s="121"/>
      <c r="J147" s="121"/>
      <c r="K147" s="121"/>
      <c r="L147" s="121"/>
      <c r="M147" s="121"/>
      <c r="N147" s="122"/>
    </row>
    <row r="148" spans="2:14" ht="43.2" x14ac:dyDescent="0.3">
      <c r="B148" s="123" t="s">
        <v>84</v>
      </c>
      <c r="C148" s="124" t="s">
        <v>11</v>
      </c>
      <c r="D148" s="124" t="s">
        <v>12</v>
      </c>
      <c r="E148" s="124" t="s">
        <v>13</v>
      </c>
      <c r="F148" s="124" t="s">
        <v>14</v>
      </c>
      <c r="G148" s="124" t="s">
        <v>15</v>
      </c>
      <c r="H148" s="124"/>
      <c r="I148" s="124" t="s">
        <v>26</v>
      </c>
      <c r="J148" s="124" t="s">
        <v>27</v>
      </c>
      <c r="K148" s="124" t="s">
        <v>28</v>
      </c>
      <c r="L148" s="125" t="s">
        <v>29</v>
      </c>
      <c r="M148" s="124" t="s">
        <v>30</v>
      </c>
      <c r="N148" s="126" t="s">
        <v>31</v>
      </c>
    </row>
    <row r="149" spans="2:14" x14ac:dyDescent="0.3">
      <c r="B149" s="52">
        <v>175000</v>
      </c>
      <c r="C149" s="45">
        <f>B149 / $G146</f>
        <v>93.085106382978722</v>
      </c>
      <c r="D149" s="45">
        <f>SUM($B146,$C146,$D146,$E146)</f>
        <v>0.44999999999999996</v>
      </c>
      <c r="E149" s="45">
        <f>(B149 * D149) / $G146</f>
        <v>41.888297872340416</v>
      </c>
      <c r="F149" s="45">
        <f>C149 + E149</f>
        <v>134.97340425531914</v>
      </c>
      <c r="G149" s="45">
        <f>F149 * (1+$F146)</f>
        <v>168.71675531914892</v>
      </c>
      <c r="H149" s="127"/>
      <c r="I149" s="45">
        <f>G146 * I146</f>
        <v>312080</v>
      </c>
      <c r="J149" s="45">
        <f>_xlfn.IFS(M146 = "Yes",G146 * (J146 + L146),M146 &lt;&gt; "Yes",G146 * (J146))</f>
        <v>265749.99999999994</v>
      </c>
      <c r="K149" s="45">
        <f>I149 - J149</f>
        <v>46330.000000000058</v>
      </c>
      <c r="L149" s="46">
        <f>K149 / I149</f>
        <v>0.14845552422455799</v>
      </c>
      <c r="M149" s="45">
        <f>I149 / 12</f>
        <v>26006.666666666668</v>
      </c>
      <c r="N149" s="47">
        <f>K149 / 12</f>
        <v>3860.833333333338</v>
      </c>
    </row>
  </sheetData>
  <mergeCells count="2">
    <mergeCell ref="A8:A17"/>
    <mergeCell ref="A4:A6"/>
  </mergeCells>
  <pageMargins left="0.7" right="0.7" top="0.75" bottom="0.75" header="0.3" footer="0.3"/>
  <ignoredErrors>
    <ignoredError xmlns:x16r3="http://schemas.microsoft.com/office/spreadsheetml/2018/08/main" xmlns:x16r5="http://schemas.microsoft.com/office/spreadsheetml/2020/10/main" sqref="A17:B17 I17:J17 S17:XFD17" evalError="1" twoDigitTextYear="1" numberStoredAsText="1" formula="1" formulaRange="1" unlockedFormula="1" emptyCellReference="1" listDataValidation="1" calculatedColumn="1" x16r3:misleadingFormat="1" x16r5:outdatedDataTypes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2BAAA-FBC5-4B09-B873-EEAD1A5FCE40}">
  <dimension ref="A2:Q18"/>
  <sheetViews>
    <sheetView showGridLines="0" workbookViewId="0">
      <selection activeCell="C21" sqref="C21"/>
    </sheetView>
  </sheetViews>
  <sheetFormatPr defaultRowHeight="14.4" x14ac:dyDescent="0.3"/>
  <cols>
    <col min="4" max="4" width="9.5546875" customWidth="1"/>
    <col min="5" max="5" width="23.33203125" customWidth="1"/>
    <col min="6" max="8" width="11.109375" bestFit="1" customWidth="1"/>
    <col min="14" max="14" width="9.33203125" bestFit="1" customWidth="1"/>
  </cols>
  <sheetData>
    <row r="2" spans="1:17" x14ac:dyDescent="0.3">
      <c r="D2" s="66" t="s">
        <v>193</v>
      </c>
    </row>
    <row r="3" spans="1:17" x14ac:dyDescent="0.3">
      <c r="D3" s="267" t="s">
        <v>194</v>
      </c>
    </row>
    <row r="4" spans="1:17" x14ac:dyDescent="0.3">
      <c r="F4" t="s">
        <v>55</v>
      </c>
      <c r="G4" t="s">
        <v>56</v>
      </c>
      <c r="H4" t="s">
        <v>57</v>
      </c>
      <c r="I4" s="267" t="s">
        <v>195</v>
      </c>
      <c r="J4" s="267" t="s">
        <v>59</v>
      </c>
      <c r="K4" s="267" t="s">
        <v>196</v>
      </c>
      <c r="L4" s="267" t="s">
        <v>197</v>
      </c>
      <c r="M4" s="267" t="s">
        <v>198</v>
      </c>
      <c r="N4" s="267" t="s">
        <v>199</v>
      </c>
    </row>
    <row r="5" spans="1:17" x14ac:dyDescent="0.3">
      <c r="D5" s="280" t="s">
        <v>200</v>
      </c>
      <c r="E5" s="258" t="s">
        <v>69</v>
      </c>
      <c r="F5" s="260">
        <v>28000</v>
      </c>
      <c r="G5" s="260">
        <v>28000</v>
      </c>
      <c r="H5" s="260">
        <v>28000</v>
      </c>
      <c r="I5" s="260">
        <v>28000</v>
      </c>
      <c r="J5" s="260">
        <v>28000</v>
      </c>
      <c r="K5" s="260">
        <v>28000</v>
      </c>
      <c r="L5" s="260">
        <v>28000</v>
      </c>
      <c r="M5" s="260">
        <v>28000</v>
      </c>
      <c r="N5" s="260">
        <v>28000</v>
      </c>
    </row>
    <row r="6" spans="1:17" x14ac:dyDescent="0.3">
      <c r="D6" s="281"/>
      <c r="E6" s="258" t="s">
        <v>201</v>
      </c>
      <c r="F6" s="260">
        <v>19584</v>
      </c>
      <c r="G6" s="260">
        <v>19584</v>
      </c>
      <c r="H6" s="260">
        <v>19584</v>
      </c>
      <c r="I6" s="260">
        <v>19584</v>
      </c>
      <c r="J6" s="260">
        <v>19584</v>
      </c>
      <c r="K6" s="260">
        <v>19584</v>
      </c>
      <c r="L6" s="260">
        <v>19584</v>
      </c>
      <c r="M6" s="260">
        <v>19584</v>
      </c>
      <c r="N6" s="260">
        <v>19584</v>
      </c>
      <c r="Q6" s="63"/>
    </row>
    <row r="7" spans="1:17" x14ac:dyDescent="0.3">
      <c r="D7" s="281"/>
      <c r="E7" s="270" t="s">
        <v>202</v>
      </c>
      <c r="F7" s="272">
        <f>F5-F6</f>
        <v>8416</v>
      </c>
      <c r="G7" s="272">
        <f>G5-G6</f>
        <v>8416</v>
      </c>
      <c r="H7" s="272">
        <f>H5-H6</f>
        <v>8416</v>
      </c>
      <c r="I7" s="272">
        <f t="shared" ref="I7:N7" si="0">I5-I6</f>
        <v>8416</v>
      </c>
      <c r="J7" s="272">
        <f t="shared" si="0"/>
        <v>8416</v>
      </c>
      <c r="K7" s="272">
        <f t="shared" si="0"/>
        <v>8416</v>
      </c>
      <c r="L7" s="272">
        <f t="shared" si="0"/>
        <v>8416</v>
      </c>
      <c r="M7" s="272">
        <f t="shared" si="0"/>
        <v>8416</v>
      </c>
      <c r="N7" s="272">
        <f t="shared" si="0"/>
        <v>8416</v>
      </c>
      <c r="O7" s="271">
        <f>SUM(F7:N7)</f>
        <v>75744</v>
      </c>
    </row>
    <row r="8" spans="1:17" x14ac:dyDescent="0.3">
      <c r="E8" s="267"/>
      <c r="F8" s="257"/>
      <c r="G8" s="257"/>
      <c r="H8" s="257"/>
      <c r="I8" s="257"/>
      <c r="J8" s="257"/>
      <c r="K8" s="257"/>
      <c r="L8" s="257"/>
      <c r="M8" s="257"/>
      <c r="N8" s="257"/>
    </row>
    <row r="9" spans="1:17" x14ac:dyDescent="0.3">
      <c r="D9" s="280" t="s">
        <v>203</v>
      </c>
      <c r="E9" s="268" t="s">
        <v>204</v>
      </c>
      <c r="F9" s="269">
        <v>176</v>
      </c>
      <c r="G9" s="269">
        <v>168</v>
      </c>
      <c r="H9" s="269">
        <v>160</v>
      </c>
      <c r="I9" s="269">
        <v>176</v>
      </c>
      <c r="J9" s="269">
        <v>168</v>
      </c>
      <c r="K9" s="269">
        <v>168</v>
      </c>
      <c r="L9" s="269">
        <v>176</v>
      </c>
      <c r="M9" s="269">
        <v>144</v>
      </c>
      <c r="N9" s="269">
        <v>176</v>
      </c>
    </row>
    <row r="10" spans="1:17" x14ac:dyDescent="0.3">
      <c r="D10" s="280"/>
      <c r="E10" s="268" t="s">
        <v>205</v>
      </c>
      <c r="F10" s="269"/>
      <c r="G10" s="269">
        <v>1</v>
      </c>
      <c r="H10" s="269"/>
      <c r="I10" s="269">
        <v>5</v>
      </c>
      <c r="J10" s="269">
        <v>3</v>
      </c>
      <c r="K10" s="269"/>
      <c r="L10" s="269"/>
      <c r="M10" s="269">
        <v>1</v>
      </c>
      <c r="N10" s="269">
        <v>5</v>
      </c>
      <c r="O10" s="201"/>
    </row>
    <row r="11" spans="1:17" x14ac:dyDescent="0.3">
      <c r="D11" s="280"/>
      <c r="E11" s="268" t="s">
        <v>206</v>
      </c>
      <c r="F11" s="269">
        <v>176</v>
      </c>
      <c r="G11" s="269">
        <v>160</v>
      </c>
      <c r="H11" s="269">
        <v>160</v>
      </c>
      <c r="I11" s="269">
        <v>126</v>
      </c>
      <c r="J11" s="269">
        <v>140</v>
      </c>
      <c r="K11" s="269">
        <v>168</v>
      </c>
      <c r="L11" s="269">
        <v>176</v>
      </c>
      <c r="M11" s="269">
        <v>136</v>
      </c>
      <c r="N11" s="269">
        <v>126</v>
      </c>
    </row>
    <row r="12" spans="1:17" x14ac:dyDescent="0.3">
      <c r="A12" s="267" t="s">
        <v>207</v>
      </c>
      <c r="D12" s="281"/>
      <c r="E12" s="268" t="s">
        <v>208</v>
      </c>
      <c r="F12" s="260">
        <v>122</v>
      </c>
      <c r="G12" s="260"/>
      <c r="H12" s="260"/>
      <c r="I12" s="258"/>
      <c r="J12" s="258"/>
      <c r="K12" s="258"/>
      <c r="L12" s="258"/>
      <c r="M12" s="258"/>
      <c r="N12" s="258"/>
    </row>
    <row r="13" spans="1:17" x14ac:dyDescent="0.3">
      <c r="D13" s="281"/>
      <c r="E13" s="258" t="s">
        <v>209</v>
      </c>
      <c r="F13" s="260">
        <f t="shared" ref="F13:N13" si="1">F11*$F$12</f>
        <v>21472</v>
      </c>
      <c r="G13" s="260">
        <f t="shared" si="1"/>
        <v>19520</v>
      </c>
      <c r="H13" s="260">
        <f t="shared" si="1"/>
        <v>19520</v>
      </c>
      <c r="I13" s="260">
        <f t="shared" si="1"/>
        <v>15372</v>
      </c>
      <c r="J13" s="260">
        <f t="shared" si="1"/>
        <v>17080</v>
      </c>
      <c r="K13" s="260">
        <f t="shared" si="1"/>
        <v>20496</v>
      </c>
      <c r="L13" s="260">
        <f t="shared" si="1"/>
        <v>21472</v>
      </c>
      <c r="M13" s="260">
        <f t="shared" si="1"/>
        <v>16592</v>
      </c>
      <c r="N13" s="260">
        <f t="shared" si="1"/>
        <v>15372</v>
      </c>
    </row>
    <row r="14" spans="1:17" x14ac:dyDescent="0.3">
      <c r="E14" s="270" t="s">
        <v>202</v>
      </c>
      <c r="F14" s="272">
        <f t="shared" ref="F14:N14" si="2">F5-F13</f>
        <v>6528</v>
      </c>
      <c r="G14" s="272">
        <f t="shared" si="2"/>
        <v>8480</v>
      </c>
      <c r="H14" s="272">
        <f t="shared" si="2"/>
        <v>8480</v>
      </c>
      <c r="I14" s="272">
        <f t="shared" si="2"/>
        <v>12628</v>
      </c>
      <c r="J14" s="272">
        <f t="shared" si="2"/>
        <v>10920</v>
      </c>
      <c r="K14" s="272">
        <f t="shared" si="2"/>
        <v>7504</v>
      </c>
      <c r="L14" s="272">
        <f t="shared" si="2"/>
        <v>6528</v>
      </c>
      <c r="M14" s="272">
        <f t="shared" si="2"/>
        <v>11408</v>
      </c>
      <c r="N14" s="272">
        <f t="shared" si="2"/>
        <v>12628</v>
      </c>
      <c r="O14" s="271">
        <f>SUM(F14:N14)</f>
        <v>85104</v>
      </c>
    </row>
    <row r="15" spans="1:17" x14ac:dyDescent="0.3">
      <c r="F15" s="267"/>
    </row>
    <row r="16" spans="1:17" x14ac:dyDescent="0.3">
      <c r="D16" s="267" t="s">
        <v>210</v>
      </c>
    </row>
    <row r="17" spans="4:4" x14ac:dyDescent="0.3">
      <c r="D17" s="267" t="s">
        <v>211</v>
      </c>
    </row>
    <row r="18" spans="4:4" x14ac:dyDescent="0.3">
      <c r="D18" s="267" t="s">
        <v>212</v>
      </c>
    </row>
  </sheetData>
  <mergeCells count="2">
    <mergeCell ref="D5:D7"/>
    <mergeCell ref="D9:D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EA98-0392-4D2B-88EE-295443510A7C}">
  <dimension ref="B2:BR65"/>
  <sheetViews>
    <sheetView topLeftCell="AR32" zoomScale="70" zoomScaleNormal="70" workbookViewId="0">
      <selection activeCell="AR32" sqref="AR32"/>
    </sheetView>
  </sheetViews>
  <sheetFormatPr defaultRowHeight="14.4" x14ac:dyDescent="0.3"/>
  <cols>
    <col min="2" max="8" width="10.44140625" customWidth="1"/>
    <col min="9" max="9" width="15.44140625" customWidth="1"/>
    <col min="10" max="14" width="11.109375" customWidth="1"/>
    <col min="15" max="15" width="5.6640625" customWidth="1"/>
    <col min="16" max="28" width="11.109375" customWidth="1"/>
    <col min="29" max="29" width="14" customWidth="1"/>
    <col min="31" max="31" width="13.44140625" hidden="1" customWidth="1"/>
    <col min="32" max="32" width="12.109375" hidden="1" customWidth="1"/>
    <col min="33" max="33" width="0" hidden="1" customWidth="1"/>
    <col min="34" max="35" width="11.44140625" hidden="1" customWidth="1"/>
    <col min="36" max="36" width="13" hidden="1" customWidth="1"/>
    <col min="37" max="37" width="3" hidden="1" customWidth="1"/>
    <col min="38" max="38" width="12.6640625" hidden="1" customWidth="1"/>
    <col min="39" max="39" width="14.33203125" hidden="1" customWidth="1"/>
    <col min="40" max="40" width="14" hidden="1" customWidth="1"/>
    <col min="41" max="41" width="12" hidden="1" customWidth="1"/>
    <col min="42" max="42" width="11.6640625" hidden="1" customWidth="1"/>
    <col min="43" max="43" width="11.33203125" hidden="1" customWidth="1"/>
    <col min="44" max="49" width="12.5546875" customWidth="1"/>
    <col min="50" max="50" width="2.5546875" customWidth="1"/>
    <col min="51" max="56" width="12.5546875" customWidth="1"/>
    <col min="58" max="70" width="10.6640625" customWidth="1"/>
  </cols>
  <sheetData>
    <row r="2" spans="2:70" ht="31.2" x14ac:dyDescent="0.6">
      <c r="B2" s="282" t="s">
        <v>213</v>
      </c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E2" s="182" t="s">
        <v>214</v>
      </c>
      <c r="AR2" s="282" t="s">
        <v>215</v>
      </c>
      <c r="AS2" s="282"/>
      <c r="AT2" s="282"/>
      <c r="AU2" s="282"/>
      <c r="AV2" s="282"/>
      <c r="AW2" s="282"/>
      <c r="AX2" s="282"/>
      <c r="AY2" s="282"/>
      <c r="AZ2" s="282"/>
      <c r="BA2" s="282"/>
      <c r="BB2" s="282"/>
      <c r="BC2" s="282"/>
      <c r="BD2" s="282"/>
      <c r="BE2" s="282"/>
      <c r="BF2" s="282"/>
      <c r="BG2" s="282"/>
      <c r="BH2" s="282"/>
      <c r="BI2" s="282"/>
      <c r="BJ2" s="282"/>
      <c r="BK2" s="282"/>
      <c r="BL2" s="282"/>
      <c r="BM2" s="282"/>
      <c r="BN2" s="282"/>
      <c r="BO2" s="282"/>
      <c r="BP2" s="282"/>
      <c r="BQ2" s="282"/>
      <c r="BR2" s="282"/>
    </row>
    <row r="3" spans="2:70" ht="31.2" x14ac:dyDescent="0.6">
      <c r="B3" s="213" t="s">
        <v>216</v>
      </c>
      <c r="P3" s="213" t="s">
        <v>217</v>
      </c>
      <c r="AE3" s="182"/>
      <c r="AR3" s="213" t="s">
        <v>216</v>
      </c>
      <c r="AS3" s="213"/>
      <c r="BF3" s="213" t="s">
        <v>217</v>
      </c>
    </row>
    <row r="4" spans="2:70" ht="21" x14ac:dyDescent="0.4">
      <c r="B4" s="49" t="s">
        <v>218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1"/>
      <c r="O4" s="214"/>
      <c r="P4" s="49" t="s">
        <v>218</v>
      </c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1"/>
      <c r="AE4" s="49" t="s">
        <v>218</v>
      </c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1"/>
      <c r="AR4" s="49" t="s">
        <v>218</v>
      </c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1"/>
      <c r="BF4" s="49" t="s">
        <v>218</v>
      </c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1"/>
    </row>
    <row r="5" spans="2:70" ht="72" x14ac:dyDescent="0.3">
      <c r="B5" s="33" t="s">
        <v>1</v>
      </c>
      <c r="C5" s="34" t="s">
        <v>3</v>
      </c>
      <c r="D5" s="34" t="s">
        <v>2</v>
      </c>
      <c r="E5" s="34" t="s">
        <v>4</v>
      </c>
      <c r="F5" s="34" t="s">
        <v>6</v>
      </c>
      <c r="G5" s="34" t="s">
        <v>5</v>
      </c>
      <c r="H5" s="34"/>
      <c r="I5" s="34" t="s">
        <v>19</v>
      </c>
      <c r="J5" s="34" t="s">
        <v>20</v>
      </c>
      <c r="K5" s="34" t="s">
        <v>21</v>
      </c>
      <c r="L5" s="35" t="s">
        <v>22</v>
      </c>
      <c r="M5" s="34" t="s">
        <v>23</v>
      </c>
      <c r="N5" s="36" t="s">
        <v>24</v>
      </c>
      <c r="O5" s="34"/>
      <c r="P5" s="33" t="s">
        <v>1</v>
      </c>
      <c r="Q5" s="34" t="s">
        <v>3</v>
      </c>
      <c r="R5" s="34" t="s">
        <v>2</v>
      </c>
      <c r="S5" s="34" t="s">
        <v>4</v>
      </c>
      <c r="T5" s="34" t="s">
        <v>6</v>
      </c>
      <c r="U5" s="34" t="s">
        <v>5</v>
      </c>
      <c r="V5" s="34"/>
      <c r="W5" s="34" t="s">
        <v>19</v>
      </c>
      <c r="X5" s="34" t="s">
        <v>20</v>
      </c>
      <c r="Y5" s="34" t="s">
        <v>21</v>
      </c>
      <c r="Z5" s="78" t="s">
        <v>22</v>
      </c>
      <c r="AA5" s="34" t="s">
        <v>23</v>
      </c>
      <c r="AB5" s="36" t="s">
        <v>24</v>
      </c>
      <c r="AE5" s="33" t="s">
        <v>1</v>
      </c>
      <c r="AF5" s="77" t="s">
        <v>3</v>
      </c>
      <c r="AG5" s="77" t="s">
        <v>2</v>
      </c>
      <c r="AH5" s="77" t="s">
        <v>4</v>
      </c>
      <c r="AI5" s="77" t="s">
        <v>6</v>
      </c>
      <c r="AJ5" s="77" t="s">
        <v>5</v>
      </c>
      <c r="AK5" s="77"/>
      <c r="AL5" s="77" t="s">
        <v>19</v>
      </c>
      <c r="AM5" s="77" t="s">
        <v>20</v>
      </c>
      <c r="AN5" s="77" t="s">
        <v>21</v>
      </c>
      <c r="AO5" s="78" t="s">
        <v>22</v>
      </c>
      <c r="AP5" s="77" t="s">
        <v>23</v>
      </c>
      <c r="AQ5" s="36" t="s">
        <v>24</v>
      </c>
      <c r="AR5" s="33" t="s">
        <v>1</v>
      </c>
      <c r="AS5" s="77" t="s">
        <v>3</v>
      </c>
      <c r="AT5" s="77" t="s">
        <v>2</v>
      </c>
      <c r="AU5" s="77" t="s">
        <v>4</v>
      </c>
      <c r="AV5" s="77" t="s">
        <v>6</v>
      </c>
      <c r="AW5" s="77" t="s">
        <v>5</v>
      </c>
      <c r="AX5" s="77"/>
      <c r="AY5" s="77" t="s">
        <v>19</v>
      </c>
      <c r="AZ5" s="77" t="s">
        <v>20</v>
      </c>
      <c r="BA5" s="77" t="s">
        <v>21</v>
      </c>
      <c r="BB5" s="78" t="s">
        <v>22</v>
      </c>
      <c r="BC5" s="77" t="s">
        <v>23</v>
      </c>
      <c r="BD5" s="36" t="s">
        <v>24</v>
      </c>
      <c r="BF5" s="33" t="s">
        <v>1</v>
      </c>
      <c r="BG5" s="77" t="s">
        <v>3</v>
      </c>
      <c r="BH5" s="77" t="s">
        <v>2</v>
      </c>
      <c r="BI5" s="77" t="s">
        <v>4</v>
      </c>
      <c r="BJ5" s="77" t="s">
        <v>6</v>
      </c>
      <c r="BK5" s="77" t="s">
        <v>5</v>
      </c>
      <c r="BL5" s="77"/>
      <c r="BM5" s="77" t="s">
        <v>19</v>
      </c>
      <c r="BN5" s="77" t="s">
        <v>20</v>
      </c>
      <c r="BO5" s="77" t="s">
        <v>21</v>
      </c>
      <c r="BP5" s="78" t="s">
        <v>22</v>
      </c>
      <c r="BQ5" s="77" t="s">
        <v>23</v>
      </c>
      <c r="BR5" s="36" t="s">
        <v>24</v>
      </c>
    </row>
    <row r="6" spans="2:70" x14ac:dyDescent="0.3">
      <c r="B6" s="55">
        <v>0.13</v>
      </c>
      <c r="C6" s="53">
        <v>0.1</v>
      </c>
      <c r="D6" s="53">
        <v>0.12</v>
      </c>
      <c r="E6" s="53">
        <v>0.1</v>
      </c>
      <c r="F6" s="53">
        <v>0.25</v>
      </c>
      <c r="G6" s="115">
        <v>1880</v>
      </c>
      <c r="H6" s="121"/>
      <c r="I6" s="146">
        <v>145</v>
      </c>
      <c r="J6" s="118">
        <f>F9</f>
        <v>115.69148936170214</v>
      </c>
      <c r="K6" s="118">
        <f>I6 - J6</f>
        <v>29.308510638297861</v>
      </c>
      <c r="L6" s="118">
        <f>1000 / (G6 / 12)</f>
        <v>6.3829787234042561</v>
      </c>
      <c r="M6" s="115" t="s">
        <v>32</v>
      </c>
      <c r="N6" s="119">
        <f>_xlfn.IFS(M6 = "Yes",K6 - L6,M6 = "No",K6)</f>
        <v>29.308510638297861</v>
      </c>
      <c r="O6" s="118"/>
      <c r="P6" s="55">
        <v>0.13</v>
      </c>
      <c r="Q6" s="80">
        <v>0.1</v>
      </c>
      <c r="R6" s="80">
        <v>0.12</v>
      </c>
      <c r="S6" s="80">
        <v>0.1</v>
      </c>
      <c r="T6" s="80">
        <v>0.25</v>
      </c>
      <c r="U6" s="176">
        <v>1880</v>
      </c>
      <c r="V6" s="177"/>
      <c r="W6" s="178">
        <v>155</v>
      </c>
      <c r="X6" s="118">
        <f>T9</f>
        <v>115.69148936170214</v>
      </c>
      <c r="Y6" s="118">
        <f>W6 - X6</f>
        <v>39.308510638297861</v>
      </c>
      <c r="Z6" s="118">
        <f>1000 / (U6 / 12)</f>
        <v>6.3829787234042561</v>
      </c>
      <c r="AA6" s="176" t="s">
        <v>32</v>
      </c>
      <c r="AB6" s="119">
        <f>_xlfn.IFS(AA6 = "Yes",Y6 - Z6,AA6 = "No",Y6)</f>
        <v>39.308510638297861</v>
      </c>
      <c r="AE6" s="55">
        <v>0.13</v>
      </c>
      <c r="AF6" s="80">
        <v>0.1</v>
      </c>
      <c r="AG6" s="80">
        <v>0.12</v>
      </c>
      <c r="AH6" s="80">
        <v>0.1</v>
      </c>
      <c r="AI6" s="80">
        <v>0.25</v>
      </c>
      <c r="AJ6" s="184">
        <v>1880</v>
      </c>
      <c r="AK6" s="177"/>
      <c r="AL6" s="178">
        <v>169</v>
      </c>
      <c r="AM6" s="179">
        <f>AI9</f>
        <v>134.97340425531914</v>
      </c>
      <c r="AN6" s="179">
        <f>AL6 - AM6</f>
        <v>34.026595744680861</v>
      </c>
      <c r="AO6" s="179">
        <f>1000 / (AJ6 / 12)</f>
        <v>6.3829787234042561</v>
      </c>
      <c r="AP6" s="176" t="s">
        <v>87</v>
      </c>
      <c r="AQ6" s="119">
        <f>_xlfn.IFS(AP6 = "Yes",AN6 - AO6,AP6 = "No",AN6)</f>
        <v>27.643617021276604</v>
      </c>
      <c r="AR6" s="55">
        <v>0.13</v>
      </c>
      <c r="AS6" s="80">
        <v>0.1</v>
      </c>
      <c r="AT6" s="80">
        <v>0.12</v>
      </c>
      <c r="AU6" s="80">
        <v>0.1</v>
      </c>
      <c r="AV6" s="80">
        <v>0.25</v>
      </c>
      <c r="AW6" s="176">
        <v>1880</v>
      </c>
      <c r="AX6" s="177"/>
      <c r="AY6" s="178">
        <v>155</v>
      </c>
      <c r="AZ6" s="179">
        <f>AV9</f>
        <v>115.69148936170214</v>
      </c>
      <c r="BA6" s="179">
        <f>AY6 - AZ6</f>
        <v>39.308510638297861</v>
      </c>
      <c r="BB6" s="179">
        <f>1000 / (AW6 / 12)</f>
        <v>6.3829787234042561</v>
      </c>
      <c r="BC6" s="176" t="s">
        <v>25</v>
      </c>
      <c r="BD6" s="119">
        <f>_xlfn.IFS(BC6 = "Yes",BA6 - BB6,BC6 = "No",BA6)</f>
        <v>32.925531914893604</v>
      </c>
      <c r="BF6" s="55">
        <v>0.13</v>
      </c>
      <c r="BG6" s="80">
        <v>0.1</v>
      </c>
      <c r="BH6" s="80">
        <v>0.12</v>
      </c>
      <c r="BI6" s="80">
        <v>0.1</v>
      </c>
      <c r="BJ6" s="80">
        <v>0.25</v>
      </c>
      <c r="BK6" s="176">
        <v>1880</v>
      </c>
      <c r="BL6" s="177"/>
      <c r="BM6" s="178">
        <v>145</v>
      </c>
      <c r="BN6" s="179">
        <f>BJ9</f>
        <v>115.69148936170214</v>
      </c>
      <c r="BO6" s="179">
        <f>BM6 - BN6</f>
        <v>29.308510638297861</v>
      </c>
      <c r="BP6" s="179">
        <f>1000 / (BK6 / 12)</f>
        <v>6.3829787234042561</v>
      </c>
      <c r="BQ6" s="176" t="s">
        <v>32</v>
      </c>
      <c r="BR6" s="119">
        <f>_xlfn.IFS(BQ6 = "Yes",BO6 - BP6,BQ6 = "No",BO6)</f>
        <v>29.308510638297861</v>
      </c>
    </row>
    <row r="7" spans="2:70" x14ac:dyDescent="0.3">
      <c r="B7" s="120"/>
      <c r="C7" s="121"/>
      <c r="D7" s="121"/>
      <c r="E7" s="121"/>
      <c r="F7" s="121"/>
      <c r="G7" s="121"/>
      <c r="I7" s="121"/>
      <c r="J7" s="121"/>
      <c r="K7" s="121"/>
      <c r="L7" s="121"/>
      <c r="M7" s="121"/>
      <c r="N7" s="122"/>
      <c r="O7" s="215"/>
      <c r="P7" s="120"/>
      <c r="Q7" s="177"/>
      <c r="R7" s="177"/>
      <c r="S7" s="177"/>
      <c r="T7" s="177"/>
      <c r="U7" s="177"/>
      <c r="W7" s="177"/>
      <c r="X7" s="177"/>
      <c r="Y7" s="177"/>
      <c r="Z7" s="177"/>
      <c r="AA7" s="177"/>
      <c r="AB7" s="122"/>
      <c r="AE7" s="120"/>
      <c r="AF7" s="177"/>
      <c r="AG7" s="177"/>
      <c r="AH7" s="177"/>
      <c r="AI7" s="177"/>
      <c r="AJ7" s="177"/>
      <c r="AL7" s="177"/>
      <c r="AM7" s="177"/>
      <c r="AN7" s="177"/>
      <c r="AO7" s="177"/>
      <c r="AP7" s="177"/>
      <c r="AQ7" s="122"/>
      <c r="AR7" s="120"/>
      <c r="AS7" s="177"/>
      <c r="AT7" s="177"/>
      <c r="AU7" s="177"/>
      <c r="AV7" s="177"/>
      <c r="AW7" s="177"/>
      <c r="AY7" s="177"/>
      <c r="AZ7" s="177"/>
      <c r="BA7" s="177"/>
      <c r="BB7" s="177"/>
      <c r="BC7" s="177"/>
      <c r="BD7" s="122"/>
      <c r="BF7" s="120"/>
      <c r="BG7" s="177"/>
      <c r="BH7" s="177"/>
      <c r="BI7" s="177"/>
      <c r="BJ7" s="177"/>
      <c r="BK7" s="177"/>
      <c r="BM7" s="177"/>
      <c r="BN7" s="177"/>
      <c r="BO7" s="177"/>
      <c r="BP7" s="177"/>
      <c r="BQ7" s="177"/>
      <c r="BR7" s="122"/>
    </row>
    <row r="8" spans="2:70" ht="57.6" x14ac:dyDescent="0.3">
      <c r="B8" s="123" t="s">
        <v>84</v>
      </c>
      <c r="C8" s="124" t="s">
        <v>11</v>
      </c>
      <c r="D8" s="124" t="s">
        <v>12</v>
      </c>
      <c r="E8" s="124" t="s">
        <v>13</v>
      </c>
      <c r="F8" s="124" t="s">
        <v>14</v>
      </c>
      <c r="G8" s="124" t="s">
        <v>15</v>
      </c>
      <c r="H8" s="124"/>
      <c r="I8" s="124" t="s">
        <v>26</v>
      </c>
      <c r="J8" s="124" t="s">
        <v>27</v>
      </c>
      <c r="K8" s="124" t="s">
        <v>28</v>
      </c>
      <c r="L8" s="125" t="s">
        <v>29</v>
      </c>
      <c r="M8" s="124" t="s">
        <v>30</v>
      </c>
      <c r="N8" s="126" t="s">
        <v>31</v>
      </c>
      <c r="O8" s="124"/>
      <c r="P8" s="123" t="s">
        <v>84</v>
      </c>
      <c r="Q8" s="124" t="s">
        <v>11</v>
      </c>
      <c r="R8" s="124" t="s">
        <v>12</v>
      </c>
      <c r="S8" s="124" t="s">
        <v>13</v>
      </c>
      <c r="T8" s="124" t="s">
        <v>14</v>
      </c>
      <c r="U8" s="124" t="s">
        <v>15</v>
      </c>
      <c r="V8" s="124"/>
      <c r="W8" s="124" t="s">
        <v>26</v>
      </c>
      <c r="X8" s="124" t="s">
        <v>27</v>
      </c>
      <c r="Y8" s="124" t="s">
        <v>28</v>
      </c>
      <c r="Z8" s="181" t="s">
        <v>29</v>
      </c>
      <c r="AA8" s="124" t="s">
        <v>30</v>
      </c>
      <c r="AB8" s="126" t="s">
        <v>31</v>
      </c>
      <c r="AE8" s="123" t="s">
        <v>84</v>
      </c>
      <c r="AF8" s="180" t="s">
        <v>11</v>
      </c>
      <c r="AG8" s="180" t="s">
        <v>12</v>
      </c>
      <c r="AH8" s="180" t="s">
        <v>13</v>
      </c>
      <c r="AI8" s="180" t="s">
        <v>14</v>
      </c>
      <c r="AJ8" s="180" t="s">
        <v>15</v>
      </c>
      <c r="AK8" s="180"/>
      <c r="AL8" s="180" t="s">
        <v>26</v>
      </c>
      <c r="AM8" s="180" t="s">
        <v>27</v>
      </c>
      <c r="AN8" s="180" t="s">
        <v>28</v>
      </c>
      <c r="AO8" s="181" t="s">
        <v>29</v>
      </c>
      <c r="AP8" s="180" t="s">
        <v>30</v>
      </c>
      <c r="AQ8" s="126" t="s">
        <v>31</v>
      </c>
      <c r="AR8" s="123" t="s">
        <v>84</v>
      </c>
      <c r="AS8" s="180" t="s">
        <v>11</v>
      </c>
      <c r="AT8" s="180" t="s">
        <v>12</v>
      </c>
      <c r="AU8" s="180" t="s">
        <v>13</v>
      </c>
      <c r="AV8" s="180" t="s">
        <v>14</v>
      </c>
      <c r="AW8" s="180" t="s">
        <v>15</v>
      </c>
      <c r="AX8" s="180"/>
      <c r="AY8" s="180" t="s">
        <v>26</v>
      </c>
      <c r="AZ8" s="180" t="s">
        <v>27</v>
      </c>
      <c r="BA8" s="180" t="s">
        <v>28</v>
      </c>
      <c r="BB8" s="181" t="s">
        <v>29</v>
      </c>
      <c r="BC8" s="180" t="s">
        <v>30</v>
      </c>
      <c r="BD8" s="126" t="s">
        <v>31</v>
      </c>
      <c r="BF8" s="123" t="s">
        <v>84</v>
      </c>
      <c r="BG8" s="180" t="s">
        <v>11</v>
      </c>
      <c r="BH8" s="180" t="s">
        <v>12</v>
      </c>
      <c r="BI8" s="180" t="s">
        <v>13</v>
      </c>
      <c r="BJ8" s="180" t="s">
        <v>14</v>
      </c>
      <c r="BK8" s="180" t="s">
        <v>15</v>
      </c>
      <c r="BL8" s="180"/>
      <c r="BM8" s="180" t="s">
        <v>26</v>
      </c>
      <c r="BN8" s="180" t="s">
        <v>27</v>
      </c>
      <c r="BO8" s="180" t="s">
        <v>28</v>
      </c>
      <c r="BP8" s="181" t="s">
        <v>29</v>
      </c>
      <c r="BQ8" s="180" t="s">
        <v>30</v>
      </c>
      <c r="BR8" s="126" t="s">
        <v>31</v>
      </c>
    </row>
    <row r="9" spans="2:70" x14ac:dyDescent="0.3">
      <c r="B9" s="52">
        <v>150000</v>
      </c>
      <c r="C9" s="45">
        <f>B9 / $G6</f>
        <v>79.787234042553195</v>
      </c>
      <c r="D9" s="45">
        <f>SUM($B6,$C6,$D6,$E6)</f>
        <v>0.44999999999999996</v>
      </c>
      <c r="E9" s="45">
        <f>(B9 * D9) / $G6</f>
        <v>35.904255319148938</v>
      </c>
      <c r="F9" s="45">
        <f>C9 + E9</f>
        <v>115.69148936170214</v>
      </c>
      <c r="G9" s="45">
        <f>F9 * (1+$F6)</f>
        <v>144.61436170212767</v>
      </c>
      <c r="H9" s="127"/>
      <c r="I9" s="45">
        <f>G6 * I6</f>
        <v>272600</v>
      </c>
      <c r="J9" s="45">
        <f>_xlfn.IFS(M6 = "Yes",G6 * (J6 + L6),M6 &lt;&gt; "Yes",G6 * (J6))</f>
        <v>217500.00000000003</v>
      </c>
      <c r="K9" s="45">
        <f>I9 - J9</f>
        <v>55099.999999999971</v>
      </c>
      <c r="L9" s="46">
        <f>K9 / I9</f>
        <v>0.20212765957446799</v>
      </c>
      <c r="M9" s="45">
        <f>I9 / 12</f>
        <v>22716.666666666668</v>
      </c>
      <c r="N9" s="47">
        <f>K9 / 12</f>
        <v>4591.6666666666642</v>
      </c>
      <c r="O9" s="118"/>
      <c r="P9" s="52">
        <v>150000</v>
      </c>
      <c r="Q9" s="45">
        <f>P9 / $G6</f>
        <v>79.787234042553195</v>
      </c>
      <c r="R9" s="45">
        <f>SUM($B6,$C6,$D6,$E6)</f>
        <v>0.44999999999999996</v>
      </c>
      <c r="S9" s="45">
        <f>(P9 * R9) / $G6</f>
        <v>35.904255319148938</v>
      </c>
      <c r="T9" s="45">
        <f>Q9 + S9</f>
        <v>115.69148936170214</v>
      </c>
      <c r="U9" s="45">
        <f>T9 * (1+$F6)</f>
        <v>144.61436170212767</v>
      </c>
      <c r="V9" s="127"/>
      <c r="W9" s="45">
        <f>U6 * W6</f>
        <v>291400</v>
      </c>
      <c r="X9" s="45">
        <f>_xlfn.IFS(AA6 = "Yes",U6 * (X6 + Z6),AA6 &lt;&gt; "Yes",U6 * (X6))</f>
        <v>217500.00000000003</v>
      </c>
      <c r="Y9" s="45">
        <f>W9 - X9</f>
        <v>73899.999999999971</v>
      </c>
      <c r="Z9" s="46">
        <f>Y9 / W9</f>
        <v>0.25360329444063134</v>
      </c>
      <c r="AA9" s="45">
        <f>W9 / 12</f>
        <v>24283.333333333332</v>
      </c>
      <c r="AB9" s="47">
        <f>Y9 / 12</f>
        <v>6158.3333333333312</v>
      </c>
      <c r="AE9" s="52">
        <v>175000</v>
      </c>
      <c r="AF9" s="45">
        <f>AE9 / $G6</f>
        <v>93.085106382978722</v>
      </c>
      <c r="AG9" s="45">
        <f>SUM($B6,$C6,$D6,$E6)</f>
        <v>0.44999999999999996</v>
      </c>
      <c r="AH9" s="45">
        <f>(AE9 * AG9) / $G6</f>
        <v>41.888297872340416</v>
      </c>
      <c r="AI9" s="45">
        <f>AF9 + AH9</f>
        <v>134.97340425531914</v>
      </c>
      <c r="AJ9" s="45">
        <f>AI9 * (1+AI6)</f>
        <v>168.71675531914892</v>
      </c>
      <c r="AK9" s="127"/>
      <c r="AL9" s="45">
        <f>AJ6 * AL6</f>
        <v>317720</v>
      </c>
      <c r="AM9" s="45">
        <f>_xlfn.IFS(AP6 = "Yes",AJ6 * (AM6 + AO6),AP6 &lt;&gt; "Yes",AJ6 * (AM6))</f>
        <v>265749.99999999994</v>
      </c>
      <c r="AN9" s="45">
        <f>AL9 - AM9</f>
        <v>51970.000000000058</v>
      </c>
      <c r="AO9" s="46">
        <f>AN9 / AL9</f>
        <v>0.16357169835074928</v>
      </c>
      <c r="AP9" s="45">
        <f>AL9 / 12</f>
        <v>26476.666666666668</v>
      </c>
      <c r="AQ9" s="47">
        <f>AN9 / 12</f>
        <v>4330.8333333333385</v>
      </c>
      <c r="AR9" s="52">
        <v>150000</v>
      </c>
      <c r="AS9" s="45">
        <f>AR9 / $G6</f>
        <v>79.787234042553195</v>
      </c>
      <c r="AT9" s="45">
        <f>SUM($B6,$C6,$D6,$E6)</f>
        <v>0.44999999999999996</v>
      </c>
      <c r="AU9" s="45">
        <f>(AR9 * AT9) / $G6</f>
        <v>35.904255319148938</v>
      </c>
      <c r="AV9" s="45">
        <f>AS9 + AU9</f>
        <v>115.69148936170214</v>
      </c>
      <c r="AW9" s="45">
        <f>AV9 * (1+$F6)</f>
        <v>144.61436170212767</v>
      </c>
      <c r="AX9" s="127"/>
      <c r="AY9" s="45">
        <f>AW6 * AY6</f>
        <v>291400</v>
      </c>
      <c r="AZ9" s="45">
        <f>_xlfn.IFS(BC6 = "Yes",AW6 * (AZ6 + BB6),BC6 &lt;&gt; "Yes",AW6 * (AZ6))</f>
        <v>229500</v>
      </c>
      <c r="BA9" s="45">
        <f>AY9 - AZ9</f>
        <v>61900</v>
      </c>
      <c r="BB9" s="46">
        <f>BA9 / AY9</f>
        <v>0.21242278654770075</v>
      </c>
      <c r="BC9" s="45">
        <f>AY9 / 12</f>
        <v>24283.333333333332</v>
      </c>
      <c r="BD9" s="47">
        <f>BA9 / 12</f>
        <v>5158.333333333333</v>
      </c>
      <c r="BF9" s="52">
        <v>150000</v>
      </c>
      <c r="BG9" s="45">
        <f>BF9 / $G6</f>
        <v>79.787234042553195</v>
      </c>
      <c r="BH9" s="45">
        <f>SUM($B6,$C6,$D6,$E6)</f>
        <v>0.44999999999999996</v>
      </c>
      <c r="BI9" s="45">
        <f>(BF9 * BH9) / $G6</f>
        <v>35.904255319148938</v>
      </c>
      <c r="BJ9" s="45">
        <f>BG9 + BI9</f>
        <v>115.69148936170214</v>
      </c>
      <c r="BK9" s="45">
        <f>BJ9 * (1+$F6)</f>
        <v>144.61436170212767</v>
      </c>
      <c r="BL9" s="127"/>
      <c r="BM9" s="45">
        <f>BK6 * BM6</f>
        <v>272600</v>
      </c>
      <c r="BN9" s="45">
        <f>_xlfn.IFS(BQ6 = "Yes",BK6 * (BN6 + BP6),BQ6 &lt;&gt; "Yes",BK6 * (BN6))</f>
        <v>217500.00000000003</v>
      </c>
      <c r="BO9" s="45">
        <f>BM9 - BN9</f>
        <v>55099.999999999971</v>
      </c>
      <c r="BP9" s="46">
        <f>BO9 / BM9</f>
        <v>0.20212765957446799</v>
      </c>
      <c r="BQ9" s="45">
        <f>BM9 / 12</f>
        <v>22716.666666666668</v>
      </c>
      <c r="BR9" s="47">
        <f>BO9 / 12</f>
        <v>4591.6666666666642</v>
      </c>
    </row>
    <row r="11" spans="2:70" ht="21" x14ac:dyDescent="0.4">
      <c r="B11" s="49" t="s">
        <v>219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1"/>
      <c r="O11" s="214"/>
      <c r="P11" s="49" t="s">
        <v>219</v>
      </c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1"/>
      <c r="AR11" s="49" t="s">
        <v>219</v>
      </c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1"/>
      <c r="BF11" s="49" t="s">
        <v>219</v>
      </c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1"/>
    </row>
    <row r="12" spans="2:70" ht="72" x14ac:dyDescent="0.3">
      <c r="B12" s="33" t="s">
        <v>1</v>
      </c>
      <c r="C12" s="34" t="s">
        <v>3</v>
      </c>
      <c r="D12" s="34" t="s">
        <v>2</v>
      </c>
      <c r="E12" s="34" t="s">
        <v>4</v>
      </c>
      <c r="F12" s="34" t="s">
        <v>6</v>
      </c>
      <c r="G12" s="34" t="s">
        <v>5</v>
      </c>
      <c r="H12" s="34"/>
      <c r="I12" s="34" t="s">
        <v>19</v>
      </c>
      <c r="J12" s="34" t="s">
        <v>20</v>
      </c>
      <c r="K12" s="34" t="s">
        <v>21</v>
      </c>
      <c r="L12" s="35" t="s">
        <v>22</v>
      </c>
      <c r="M12" s="34" t="s">
        <v>23</v>
      </c>
      <c r="N12" s="36" t="s">
        <v>24</v>
      </c>
      <c r="O12" s="34"/>
      <c r="P12" s="33" t="s">
        <v>1</v>
      </c>
      <c r="Q12" s="34" t="s">
        <v>3</v>
      </c>
      <c r="R12" s="34" t="s">
        <v>2</v>
      </c>
      <c r="S12" s="34" t="s">
        <v>4</v>
      </c>
      <c r="T12" s="34" t="s">
        <v>6</v>
      </c>
      <c r="U12" s="34" t="s">
        <v>5</v>
      </c>
      <c r="V12" s="34"/>
      <c r="W12" s="34" t="s">
        <v>19</v>
      </c>
      <c r="X12" s="34" t="s">
        <v>20</v>
      </c>
      <c r="Y12" s="34" t="s">
        <v>21</v>
      </c>
      <c r="Z12" s="78" t="s">
        <v>22</v>
      </c>
      <c r="AA12" s="34" t="s">
        <v>23</v>
      </c>
      <c r="AB12" s="36" t="s">
        <v>24</v>
      </c>
      <c r="AR12" s="33" t="s">
        <v>1</v>
      </c>
      <c r="AS12" s="77" t="s">
        <v>3</v>
      </c>
      <c r="AT12" s="77" t="s">
        <v>2</v>
      </c>
      <c r="AU12" s="77" t="s">
        <v>4</v>
      </c>
      <c r="AV12" s="77" t="s">
        <v>6</v>
      </c>
      <c r="AW12" s="77" t="s">
        <v>5</v>
      </c>
      <c r="AX12" s="77"/>
      <c r="AY12" s="77" t="s">
        <v>19</v>
      </c>
      <c r="AZ12" s="77" t="s">
        <v>20</v>
      </c>
      <c r="BA12" s="77" t="s">
        <v>21</v>
      </c>
      <c r="BB12" s="78" t="s">
        <v>22</v>
      </c>
      <c r="BC12" s="77" t="s">
        <v>23</v>
      </c>
      <c r="BD12" s="36" t="s">
        <v>24</v>
      </c>
      <c r="BF12" s="33" t="s">
        <v>1</v>
      </c>
      <c r="BG12" s="77" t="s">
        <v>3</v>
      </c>
      <c r="BH12" s="77" t="s">
        <v>2</v>
      </c>
      <c r="BI12" s="77" t="s">
        <v>4</v>
      </c>
      <c r="BJ12" s="77" t="s">
        <v>6</v>
      </c>
      <c r="BK12" s="77" t="s">
        <v>5</v>
      </c>
      <c r="BL12" s="77"/>
      <c r="BM12" s="77" t="s">
        <v>19</v>
      </c>
      <c r="BN12" s="77" t="s">
        <v>20</v>
      </c>
      <c r="BO12" s="77" t="s">
        <v>21</v>
      </c>
      <c r="BP12" s="78" t="s">
        <v>22</v>
      </c>
      <c r="BQ12" s="77" t="s">
        <v>23</v>
      </c>
      <c r="BR12" s="36" t="s">
        <v>24</v>
      </c>
    </row>
    <row r="13" spans="2:70" x14ac:dyDescent="0.3">
      <c r="B13" s="55">
        <v>0.13</v>
      </c>
      <c r="C13" s="53">
        <v>0.1</v>
      </c>
      <c r="D13" s="53">
        <v>0.12</v>
      </c>
      <c r="E13" s="53">
        <v>0.1</v>
      </c>
      <c r="F13" s="53">
        <v>0.25</v>
      </c>
      <c r="G13" s="115">
        <v>1880</v>
      </c>
      <c r="H13" s="121"/>
      <c r="I13" s="146">
        <v>140</v>
      </c>
      <c r="J13" s="118">
        <f>F16</f>
        <v>107.97872340425531</v>
      </c>
      <c r="K13" s="118">
        <f>I13 - J13</f>
        <v>32.021276595744695</v>
      </c>
      <c r="L13" s="118">
        <f>1000 / (G13 / 12)</f>
        <v>6.3829787234042561</v>
      </c>
      <c r="M13" s="115" t="s">
        <v>87</v>
      </c>
      <c r="N13" s="119">
        <f>_xlfn.IFS(M13 = "Yes",K13 - L13,M13 = "No",K13)</f>
        <v>25.638297872340438</v>
      </c>
      <c r="O13" s="118"/>
      <c r="P13" s="55">
        <v>0.13</v>
      </c>
      <c r="Q13" s="80">
        <v>0.1</v>
      </c>
      <c r="R13" s="80">
        <v>0.12</v>
      </c>
      <c r="S13" s="80">
        <v>0.1</v>
      </c>
      <c r="T13" s="80">
        <v>0.25</v>
      </c>
      <c r="U13" s="176">
        <v>1880</v>
      </c>
      <c r="V13" s="177"/>
      <c r="W13" s="178">
        <v>144</v>
      </c>
      <c r="X13" s="118">
        <f>T16</f>
        <v>107.97872340425531</v>
      </c>
      <c r="Y13" s="118">
        <f>W13 - X13</f>
        <v>36.021276595744695</v>
      </c>
      <c r="Z13" s="118">
        <f>1000 / (U13 / 12)</f>
        <v>6.3829787234042561</v>
      </c>
      <c r="AA13" s="176" t="s">
        <v>87</v>
      </c>
      <c r="AB13" s="119">
        <f>_xlfn.IFS(AA13 = "Yes",Y13 - Z13,AA13 = "No",Y13)</f>
        <v>29.638297872340438</v>
      </c>
      <c r="AR13" s="55">
        <v>0.13</v>
      </c>
      <c r="AS13" s="80">
        <v>0.1</v>
      </c>
      <c r="AT13" s="80">
        <v>0.12</v>
      </c>
      <c r="AU13" s="80">
        <v>0.1</v>
      </c>
      <c r="AV13" s="80">
        <v>0.25</v>
      </c>
      <c r="AW13" s="176">
        <v>1880</v>
      </c>
      <c r="AX13" s="177"/>
      <c r="AY13" s="178">
        <v>133.13999999999999</v>
      </c>
      <c r="AZ13" s="179">
        <f>AV16</f>
        <v>100.2659574468085</v>
      </c>
      <c r="BA13" s="179">
        <f>AY13 - AZ13</f>
        <v>32.874042553191487</v>
      </c>
      <c r="BB13" s="179">
        <f>1000 / (AW13 / 12)</f>
        <v>6.3829787234042561</v>
      </c>
      <c r="BC13" s="176" t="s">
        <v>87</v>
      </c>
      <c r="BD13" s="119">
        <f>_xlfn.IFS(BC13 = "Yes",BA13 - BB13,BC13 = "No",BA13)</f>
        <v>26.49106382978723</v>
      </c>
      <c r="BF13" s="55">
        <v>0.13</v>
      </c>
      <c r="BG13" s="80">
        <v>0.1</v>
      </c>
      <c r="BH13" s="80">
        <v>0.12</v>
      </c>
      <c r="BI13" s="80">
        <v>0.1</v>
      </c>
      <c r="BJ13" s="80">
        <v>0.25</v>
      </c>
      <c r="BK13" s="176">
        <v>1880</v>
      </c>
      <c r="BL13" s="177"/>
      <c r="BM13" s="178">
        <v>140</v>
      </c>
      <c r="BN13" s="179">
        <f>BJ16</f>
        <v>107.97872340425531</v>
      </c>
      <c r="BO13" s="179">
        <f>BM13 - BN13</f>
        <v>32.021276595744695</v>
      </c>
      <c r="BP13" s="179">
        <f>1000 / (BK13 / 12)</f>
        <v>6.3829787234042561</v>
      </c>
      <c r="BQ13" s="176" t="s">
        <v>87</v>
      </c>
      <c r="BR13" s="119">
        <f>_xlfn.IFS(BQ13 = "Yes",BO13 - BP13,BQ13 = "No",BO13)</f>
        <v>25.638297872340438</v>
      </c>
    </row>
    <row r="14" spans="2:70" x14ac:dyDescent="0.3">
      <c r="B14" s="120"/>
      <c r="C14" s="121"/>
      <c r="D14" s="121"/>
      <c r="E14" s="121"/>
      <c r="F14" s="121"/>
      <c r="G14" s="121"/>
      <c r="I14" s="121"/>
      <c r="J14" s="121"/>
      <c r="K14" s="121"/>
      <c r="L14" s="121"/>
      <c r="M14" s="121"/>
      <c r="N14" s="122"/>
      <c r="O14" s="215"/>
      <c r="P14" s="120"/>
      <c r="Q14" s="177"/>
      <c r="R14" s="177"/>
      <c r="S14" s="177"/>
      <c r="T14" s="177"/>
      <c r="U14" s="177"/>
      <c r="W14" s="177"/>
      <c r="X14" s="177"/>
      <c r="Y14" s="177"/>
      <c r="Z14" s="177"/>
      <c r="AA14" s="177"/>
      <c r="AB14" s="122"/>
      <c r="AR14" s="120"/>
      <c r="AS14" s="177"/>
      <c r="AT14" s="177"/>
      <c r="AU14" s="177"/>
      <c r="AV14" s="177"/>
      <c r="AW14" s="177"/>
      <c r="AY14" s="177"/>
      <c r="AZ14" s="177"/>
      <c r="BA14" s="177"/>
      <c r="BB14" s="177"/>
      <c r="BC14" s="177"/>
      <c r="BD14" s="122"/>
      <c r="BF14" s="120"/>
      <c r="BG14" s="177"/>
      <c r="BH14" s="177"/>
      <c r="BI14" s="177"/>
      <c r="BJ14" s="177"/>
      <c r="BK14" s="177"/>
      <c r="BM14" s="177"/>
      <c r="BN14" s="177"/>
      <c r="BO14" s="177"/>
      <c r="BP14" s="177"/>
      <c r="BQ14" s="177"/>
      <c r="BR14" s="122"/>
    </row>
    <row r="15" spans="2:70" ht="57.6" x14ac:dyDescent="0.3">
      <c r="B15" s="123" t="s">
        <v>84</v>
      </c>
      <c r="C15" s="124" t="s">
        <v>11</v>
      </c>
      <c r="D15" s="124" t="s">
        <v>12</v>
      </c>
      <c r="E15" s="124" t="s">
        <v>13</v>
      </c>
      <c r="F15" s="124" t="s">
        <v>14</v>
      </c>
      <c r="G15" s="124" t="s">
        <v>15</v>
      </c>
      <c r="H15" s="124"/>
      <c r="I15" s="124" t="s">
        <v>26</v>
      </c>
      <c r="J15" s="124" t="s">
        <v>27</v>
      </c>
      <c r="K15" s="124" t="s">
        <v>28</v>
      </c>
      <c r="L15" s="125" t="s">
        <v>29</v>
      </c>
      <c r="M15" s="124" t="s">
        <v>30</v>
      </c>
      <c r="N15" s="126" t="s">
        <v>31</v>
      </c>
      <c r="O15" s="124"/>
      <c r="P15" s="123" t="s">
        <v>84</v>
      </c>
      <c r="Q15" s="124" t="s">
        <v>11</v>
      </c>
      <c r="R15" s="124" t="s">
        <v>12</v>
      </c>
      <c r="S15" s="124" t="s">
        <v>13</v>
      </c>
      <c r="T15" s="124" t="s">
        <v>14</v>
      </c>
      <c r="U15" s="124" t="s">
        <v>15</v>
      </c>
      <c r="V15" s="124"/>
      <c r="W15" s="124" t="s">
        <v>26</v>
      </c>
      <c r="X15" s="124" t="s">
        <v>27</v>
      </c>
      <c r="Y15" s="124" t="s">
        <v>28</v>
      </c>
      <c r="Z15" s="181" t="s">
        <v>29</v>
      </c>
      <c r="AA15" s="124" t="s">
        <v>30</v>
      </c>
      <c r="AB15" s="126" t="s">
        <v>31</v>
      </c>
      <c r="AR15" s="123" t="s">
        <v>84</v>
      </c>
      <c r="AS15" s="180" t="s">
        <v>11</v>
      </c>
      <c r="AT15" s="180" t="s">
        <v>12</v>
      </c>
      <c r="AU15" s="180" t="s">
        <v>13</v>
      </c>
      <c r="AV15" s="180" t="s">
        <v>14</v>
      </c>
      <c r="AW15" s="180" t="s">
        <v>15</v>
      </c>
      <c r="AX15" s="180"/>
      <c r="AY15" s="180" t="s">
        <v>26</v>
      </c>
      <c r="AZ15" s="180" t="s">
        <v>27</v>
      </c>
      <c r="BA15" s="180" t="s">
        <v>28</v>
      </c>
      <c r="BB15" s="181" t="s">
        <v>29</v>
      </c>
      <c r="BC15" s="180" t="s">
        <v>30</v>
      </c>
      <c r="BD15" s="126" t="s">
        <v>31</v>
      </c>
      <c r="BF15" s="123" t="s">
        <v>84</v>
      </c>
      <c r="BG15" s="180" t="s">
        <v>11</v>
      </c>
      <c r="BH15" s="180" t="s">
        <v>12</v>
      </c>
      <c r="BI15" s="180" t="s">
        <v>13</v>
      </c>
      <c r="BJ15" s="180" t="s">
        <v>14</v>
      </c>
      <c r="BK15" s="180" t="s">
        <v>15</v>
      </c>
      <c r="BL15" s="180"/>
      <c r="BM15" s="180" t="s">
        <v>26</v>
      </c>
      <c r="BN15" s="180" t="s">
        <v>27</v>
      </c>
      <c r="BO15" s="180" t="s">
        <v>28</v>
      </c>
      <c r="BP15" s="181" t="s">
        <v>29</v>
      </c>
      <c r="BQ15" s="180" t="s">
        <v>30</v>
      </c>
      <c r="BR15" s="126" t="s">
        <v>31</v>
      </c>
    </row>
    <row r="16" spans="2:70" x14ac:dyDescent="0.3">
      <c r="B16" s="52">
        <v>140000</v>
      </c>
      <c r="C16" s="45">
        <f>B16 / $G13</f>
        <v>74.468085106382972</v>
      </c>
      <c r="D16" s="45">
        <f>SUM($B13,$C13,$D13,$E13)</f>
        <v>0.44999999999999996</v>
      </c>
      <c r="E16" s="45">
        <f>(B16 * D16) / $G13</f>
        <v>33.510638297872333</v>
      </c>
      <c r="F16" s="45">
        <f>C16 + E16</f>
        <v>107.97872340425531</v>
      </c>
      <c r="G16" s="45">
        <f>F16 * (1+$F13)</f>
        <v>134.97340425531914</v>
      </c>
      <c r="H16" s="127"/>
      <c r="I16" s="45">
        <f>G13 * I13</f>
        <v>263200</v>
      </c>
      <c r="J16" s="45">
        <f>_xlfn.IFS(M13 = "Yes",G13 * (J13 + L13),M13 &lt;&gt; "Yes",G13 * (J13))</f>
        <v>214999.99999999997</v>
      </c>
      <c r="K16" s="45">
        <f>I16 - J16</f>
        <v>48200.000000000029</v>
      </c>
      <c r="L16" s="46">
        <f>K16 / I16</f>
        <v>0.183130699088146</v>
      </c>
      <c r="M16" s="45">
        <f>I16 / 12</f>
        <v>21933.333333333332</v>
      </c>
      <c r="N16" s="47">
        <f>K16 / 12</f>
        <v>4016.6666666666692</v>
      </c>
      <c r="O16" s="118"/>
      <c r="P16" s="52">
        <v>140000</v>
      </c>
      <c r="Q16" s="45">
        <f>P16 / $G13</f>
        <v>74.468085106382972</v>
      </c>
      <c r="R16" s="45">
        <f>SUM($B13,$C13,$D13,$E13)</f>
        <v>0.44999999999999996</v>
      </c>
      <c r="S16" s="45">
        <f>(P16 * R16) / $G13</f>
        <v>33.510638297872333</v>
      </c>
      <c r="T16" s="45">
        <f>Q16 + S16</f>
        <v>107.97872340425531</v>
      </c>
      <c r="U16" s="45">
        <f>T16 * (1+$F13)</f>
        <v>134.97340425531914</v>
      </c>
      <c r="V16" s="127"/>
      <c r="W16" s="45">
        <f>U13 * W13</f>
        <v>270720</v>
      </c>
      <c r="X16" s="45">
        <f>_xlfn.IFS(AA13 = "Yes",U13 * (X13 + Z13),AA13 &lt;&gt; "Yes",U13 * (X13))</f>
        <v>214999.99999999997</v>
      </c>
      <c r="Y16" s="45">
        <f>W16 - X16</f>
        <v>55720.000000000029</v>
      </c>
      <c r="Z16" s="46">
        <f>Y16 / W16</f>
        <v>0.20582151300236418</v>
      </c>
      <c r="AA16" s="45">
        <f>W16 / 12</f>
        <v>22560</v>
      </c>
      <c r="AB16" s="47">
        <f>Y16 / 12</f>
        <v>4643.3333333333358</v>
      </c>
      <c r="AR16" s="52">
        <v>130000</v>
      </c>
      <c r="AS16" s="45">
        <f>AR16 / $G13</f>
        <v>69.148936170212764</v>
      </c>
      <c r="AT16" s="45">
        <f>SUM($B13,$C13,$D13,$E13)</f>
        <v>0.44999999999999996</v>
      </c>
      <c r="AU16" s="45">
        <f>(AR16 * AT16) / $G13</f>
        <v>31.117021276595739</v>
      </c>
      <c r="AV16" s="45">
        <f>AS16 + AU16</f>
        <v>100.2659574468085</v>
      </c>
      <c r="AW16" s="45">
        <f>AV16 * (1+$F13)</f>
        <v>125.33244680851062</v>
      </c>
      <c r="AX16" s="127"/>
      <c r="AY16" s="45">
        <f>AW13 * AY13</f>
        <v>250303.19999999998</v>
      </c>
      <c r="AZ16" s="45">
        <f>_xlfn.IFS(BC13 = "Yes",AW13 * (AZ13 + BB13),BC13 &lt;&gt; "Yes",AW13 * (AZ13))</f>
        <v>200499.99999999997</v>
      </c>
      <c r="BA16" s="45">
        <f>AY16 - AZ16</f>
        <v>49803.200000000012</v>
      </c>
      <c r="BB16" s="46">
        <f>BA16 / AY16</f>
        <v>0.19897148738010548</v>
      </c>
      <c r="BC16" s="45">
        <f>AY16 / 12</f>
        <v>20858.599999999999</v>
      </c>
      <c r="BD16" s="47">
        <f>BA16 / 12</f>
        <v>4150.2666666666673</v>
      </c>
      <c r="BF16" s="52">
        <v>140000</v>
      </c>
      <c r="BG16" s="45">
        <f>BF16 / $G13</f>
        <v>74.468085106382972</v>
      </c>
      <c r="BH16" s="45">
        <f>SUM($B13,$C13,$D13,$E13)</f>
        <v>0.44999999999999996</v>
      </c>
      <c r="BI16" s="45">
        <f>(BF16 * BH16) / $G13</f>
        <v>33.510638297872333</v>
      </c>
      <c r="BJ16" s="45">
        <f>BG16 + BI16</f>
        <v>107.97872340425531</v>
      </c>
      <c r="BK16" s="45">
        <f>BJ16 * (1+$F13)</f>
        <v>134.97340425531914</v>
      </c>
      <c r="BL16" s="127"/>
      <c r="BM16" s="45">
        <f>BK13 * BM13</f>
        <v>263200</v>
      </c>
      <c r="BN16" s="45">
        <f>_xlfn.IFS(BQ13 = "Yes",BK13 * (BN13 + BP13),BQ13 &lt;&gt; "Yes",BK13 * (BN13))</f>
        <v>214999.99999999997</v>
      </c>
      <c r="BO16" s="45">
        <f>BM16 - BN16</f>
        <v>48200.000000000029</v>
      </c>
      <c r="BP16" s="46">
        <f>BO16 / BM16</f>
        <v>0.183130699088146</v>
      </c>
      <c r="BQ16" s="45">
        <f>BM16 / 12</f>
        <v>21933.333333333332</v>
      </c>
      <c r="BR16" s="47">
        <f>BO16 / 12</f>
        <v>4016.6666666666692</v>
      </c>
    </row>
    <row r="18" spans="2:70" ht="21" x14ac:dyDescent="0.4">
      <c r="B18" s="49" t="s">
        <v>220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1"/>
      <c r="O18" s="214"/>
      <c r="P18" s="49" t="s">
        <v>220</v>
      </c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1"/>
      <c r="AR18" s="49" t="s">
        <v>220</v>
      </c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1"/>
      <c r="BF18" s="49" t="s">
        <v>220</v>
      </c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1"/>
    </row>
    <row r="19" spans="2:70" ht="72" x14ac:dyDescent="0.3">
      <c r="B19" s="33" t="s">
        <v>1</v>
      </c>
      <c r="C19" s="34" t="s">
        <v>3</v>
      </c>
      <c r="D19" s="34" t="s">
        <v>2</v>
      </c>
      <c r="E19" s="34" t="s">
        <v>4</v>
      </c>
      <c r="F19" s="34" t="s">
        <v>6</v>
      </c>
      <c r="G19" s="34" t="s">
        <v>5</v>
      </c>
      <c r="H19" s="34"/>
      <c r="I19" s="34" t="s">
        <v>19</v>
      </c>
      <c r="J19" s="34" t="s">
        <v>20</v>
      </c>
      <c r="K19" s="34" t="s">
        <v>21</v>
      </c>
      <c r="L19" s="35" t="s">
        <v>22</v>
      </c>
      <c r="M19" s="34" t="s">
        <v>23</v>
      </c>
      <c r="N19" s="36" t="s">
        <v>24</v>
      </c>
      <c r="O19" s="34"/>
      <c r="P19" s="33" t="s">
        <v>1</v>
      </c>
      <c r="Q19" s="34" t="s">
        <v>3</v>
      </c>
      <c r="R19" s="34" t="s">
        <v>2</v>
      </c>
      <c r="S19" s="34" t="s">
        <v>4</v>
      </c>
      <c r="T19" s="34" t="s">
        <v>6</v>
      </c>
      <c r="U19" s="34" t="s">
        <v>5</v>
      </c>
      <c r="V19" s="34"/>
      <c r="W19" s="34" t="s">
        <v>19</v>
      </c>
      <c r="X19" s="34" t="s">
        <v>20</v>
      </c>
      <c r="Y19" s="34" t="s">
        <v>21</v>
      </c>
      <c r="Z19" s="78" t="s">
        <v>22</v>
      </c>
      <c r="AA19" s="34" t="s">
        <v>23</v>
      </c>
      <c r="AB19" s="36" t="s">
        <v>24</v>
      </c>
      <c r="AR19" s="33" t="s">
        <v>1</v>
      </c>
      <c r="AS19" s="77" t="s">
        <v>3</v>
      </c>
      <c r="AT19" s="77" t="s">
        <v>2</v>
      </c>
      <c r="AU19" s="77" t="s">
        <v>4</v>
      </c>
      <c r="AV19" s="77" t="s">
        <v>6</v>
      </c>
      <c r="AW19" s="77" t="s">
        <v>5</v>
      </c>
      <c r="AX19" s="77"/>
      <c r="AY19" s="77" t="s">
        <v>19</v>
      </c>
      <c r="AZ19" s="77" t="s">
        <v>20</v>
      </c>
      <c r="BA19" s="77" t="s">
        <v>21</v>
      </c>
      <c r="BB19" s="78" t="s">
        <v>22</v>
      </c>
      <c r="BC19" s="77" t="s">
        <v>23</v>
      </c>
      <c r="BD19" s="36" t="s">
        <v>24</v>
      </c>
      <c r="BF19" s="33" t="s">
        <v>1</v>
      </c>
      <c r="BG19" s="77" t="s">
        <v>3</v>
      </c>
      <c r="BH19" s="77" t="s">
        <v>2</v>
      </c>
      <c r="BI19" s="77" t="s">
        <v>4</v>
      </c>
      <c r="BJ19" s="77" t="s">
        <v>6</v>
      </c>
      <c r="BK19" s="77" t="s">
        <v>5</v>
      </c>
      <c r="BL19" s="77"/>
      <c r="BM19" s="77" t="s">
        <v>19</v>
      </c>
      <c r="BN19" s="77" t="s">
        <v>20</v>
      </c>
      <c r="BO19" s="77" t="s">
        <v>21</v>
      </c>
      <c r="BP19" s="78" t="s">
        <v>22</v>
      </c>
      <c r="BQ19" s="77" t="s">
        <v>23</v>
      </c>
      <c r="BR19" s="36" t="s">
        <v>24</v>
      </c>
    </row>
    <row r="20" spans="2:70" x14ac:dyDescent="0.3">
      <c r="B20" s="55">
        <v>0.13</v>
      </c>
      <c r="C20" s="53">
        <v>0.1</v>
      </c>
      <c r="D20" s="53">
        <v>0.12</v>
      </c>
      <c r="E20" s="53">
        <v>0.1</v>
      </c>
      <c r="F20" s="53">
        <v>0.25</v>
      </c>
      <c r="G20" s="115">
        <v>1880</v>
      </c>
      <c r="H20" s="121"/>
      <c r="I20" s="146">
        <v>175</v>
      </c>
      <c r="J20" s="118">
        <f>F23</f>
        <v>138.82978723404256</v>
      </c>
      <c r="K20" s="118">
        <f>I20 - J20</f>
        <v>36.170212765957444</v>
      </c>
      <c r="L20" s="118">
        <f>1000 / (G20 / 12)</f>
        <v>6.3829787234042561</v>
      </c>
      <c r="M20" s="115" t="s">
        <v>87</v>
      </c>
      <c r="N20" s="119">
        <f>_xlfn.IFS(M20 = "Yes",K20 - L20,M20 = "No",K20)</f>
        <v>29.787234042553187</v>
      </c>
      <c r="O20" s="118"/>
      <c r="P20" s="55">
        <v>0.13</v>
      </c>
      <c r="Q20" s="80">
        <v>0.1</v>
      </c>
      <c r="R20" s="80">
        <v>0.12</v>
      </c>
      <c r="S20" s="80">
        <v>0.1</v>
      </c>
      <c r="T20" s="80">
        <v>0.25</v>
      </c>
      <c r="U20" s="176">
        <v>1880</v>
      </c>
      <c r="V20" s="177"/>
      <c r="W20" s="178">
        <v>181</v>
      </c>
      <c r="X20" s="118">
        <f>T23</f>
        <v>138.82978723404256</v>
      </c>
      <c r="Y20" s="118">
        <f>W20 - X20</f>
        <v>42.170212765957444</v>
      </c>
      <c r="Z20" s="118">
        <f>1000 / (U20 / 12)</f>
        <v>6.3829787234042561</v>
      </c>
      <c r="AA20" s="176" t="s">
        <v>87</v>
      </c>
      <c r="AB20" s="119">
        <f>_xlfn.IFS(AA20 = "Yes",Y20 - Z20,AA20 = "No",Y20)</f>
        <v>35.787234042553187</v>
      </c>
      <c r="AR20" s="55">
        <v>0.13</v>
      </c>
      <c r="AS20" s="80">
        <v>0.1</v>
      </c>
      <c r="AT20" s="80">
        <v>0.12</v>
      </c>
      <c r="AU20" s="80">
        <v>0.1</v>
      </c>
      <c r="AV20" s="80">
        <v>0.25</v>
      </c>
      <c r="AW20" s="176">
        <v>1880</v>
      </c>
      <c r="AX20" s="177"/>
      <c r="AY20" s="178">
        <v>175</v>
      </c>
      <c r="AZ20" s="179">
        <f>AV23</f>
        <v>138.82978723404256</v>
      </c>
      <c r="BA20" s="179">
        <f>AY20 - AZ20</f>
        <v>36.170212765957444</v>
      </c>
      <c r="BB20" s="179">
        <f>1000 / (AW20 / 12)</f>
        <v>6.3829787234042561</v>
      </c>
      <c r="BC20" s="176" t="s">
        <v>87</v>
      </c>
      <c r="BD20" s="119">
        <f>_xlfn.IFS(BC20 = "Yes",BA20 - BB20,BC20 = "No",BA20)</f>
        <v>29.787234042553187</v>
      </c>
      <c r="BF20" s="55">
        <v>0.13</v>
      </c>
      <c r="BG20" s="80">
        <v>0.1</v>
      </c>
      <c r="BH20" s="80">
        <v>0.12</v>
      </c>
      <c r="BI20" s="80">
        <v>0.1</v>
      </c>
      <c r="BJ20" s="80">
        <v>0.25</v>
      </c>
      <c r="BK20" s="176">
        <v>1880</v>
      </c>
      <c r="BL20" s="177"/>
      <c r="BM20" s="178">
        <v>175</v>
      </c>
      <c r="BN20" s="179">
        <f>BJ23</f>
        <v>138.82978723404256</v>
      </c>
      <c r="BO20" s="179">
        <f>BM20 - BN20</f>
        <v>36.170212765957444</v>
      </c>
      <c r="BP20" s="179">
        <f>1000 / (BK20 / 12)</f>
        <v>6.3829787234042561</v>
      </c>
      <c r="BQ20" s="176" t="s">
        <v>87</v>
      </c>
      <c r="BR20" s="119">
        <f>_xlfn.IFS(BQ20 = "Yes",BO20 - BP20,BQ20 = "No",BO20)</f>
        <v>29.787234042553187</v>
      </c>
    </row>
    <row r="21" spans="2:70" x14ac:dyDescent="0.3">
      <c r="B21" s="120"/>
      <c r="C21" s="121"/>
      <c r="D21" s="121"/>
      <c r="E21" s="121"/>
      <c r="F21" s="121"/>
      <c r="G21" s="121"/>
      <c r="I21" s="121"/>
      <c r="J21" s="121"/>
      <c r="K21" s="121"/>
      <c r="L21" s="121"/>
      <c r="M21" s="121"/>
      <c r="N21" s="122"/>
      <c r="O21" s="215"/>
      <c r="P21" s="120"/>
      <c r="Q21" s="177"/>
      <c r="R21" s="177"/>
      <c r="S21" s="177"/>
      <c r="T21" s="177"/>
      <c r="U21" s="177"/>
      <c r="W21" s="177"/>
      <c r="X21" s="177"/>
      <c r="Y21" s="177"/>
      <c r="Z21" s="177"/>
      <c r="AA21" s="177"/>
      <c r="AB21" s="122"/>
      <c r="AR21" s="120"/>
      <c r="AS21" s="177"/>
      <c r="AT21" s="177"/>
      <c r="AU21" s="177"/>
      <c r="AV21" s="177"/>
      <c r="AW21" s="177"/>
      <c r="AY21" s="177"/>
      <c r="AZ21" s="177"/>
      <c r="BA21" s="177"/>
      <c r="BB21" s="177"/>
      <c r="BC21" s="177"/>
      <c r="BD21" s="122"/>
      <c r="BF21" s="120"/>
      <c r="BG21" s="177"/>
      <c r="BH21" s="177"/>
      <c r="BI21" s="177"/>
      <c r="BJ21" s="177"/>
      <c r="BK21" s="177"/>
      <c r="BM21" s="177"/>
      <c r="BN21" s="177"/>
      <c r="BO21" s="177"/>
      <c r="BP21" s="177"/>
      <c r="BQ21" s="177"/>
      <c r="BR21" s="122"/>
    </row>
    <row r="22" spans="2:70" ht="57.6" x14ac:dyDescent="0.3">
      <c r="B22" s="123" t="s">
        <v>84</v>
      </c>
      <c r="C22" s="124" t="s">
        <v>11</v>
      </c>
      <c r="D22" s="124" t="s">
        <v>12</v>
      </c>
      <c r="E22" s="124" t="s">
        <v>13</v>
      </c>
      <c r="F22" s="124" t="s">
        <v>14</v>
      </c>
      <c r="G22" s="124" t="s">
        <v>15</v>
      </c>
      <c r="H22" s="124"/>
      <c r="I22" s="124" t="s">
        <v>26</v>
      </c>
      <c r="J22" s="124" t="s">
        <v>27</v>
      </c>
      <c r="K22" s="124" t="s">
        <v>28</v>
      </c>
      <c r="L22" s="125" t="s">
        <v>29</v>
      </c>
      <c r="M22" s="124" t="s">
        <v>30</v>
      </c>
      <c r="N22" s="126" t="s">
        <v>31</v>
      </c>
      <c r="O22" s="124"/>
      <c r="P22" s="123" t="s">
        <v>84</v>
      </c>
      <c r="Q22" s="124" t="s">
        <v>11</v>
      </c>
      <c r="R22" s="124" t="s">
        <v>12</v>
      </c>
      <c r="S22" s="124" t="s">
        <v>13</v>
      </c>
      <c r="T22" s="124" t="s">
        <v>14</v>
      </c>
      <c r="U22" s="124" t="s">
        <v>15</v>
      </c>
      <c r="V22" s="124"/>
      <c r="W22" s="124" t="s">
        <v>26</v>
      </c>
      <c r="X22" s="124" t="s">
        <v>27</v>
      </c>
      <c r="Y22" s="124" t="s">
        <v>28</v>
      </c>
      <c r="Z22" s="181" t="s">
        <v>29</v>
      </c>
      <c r="AA22" s="124" t="s">
        <v>30</v>
      </c>
      <c r="AB22" s="126" t="s">
        <v>31</v>
      </c>
      <c r="AR22" s="123" t="s">
        <v>84</v>
      </c>
      <c r="AS22" s="180" t="s">
        <v>11</v>
      </c>
      <c r="AT22" s="180" t="s">
        <v>12</v>
      </c>
      <c r="AU22" s="180" t="s">
        <v>13</v>
      </c>
      <c r="AV22" s="180" t="s">
        <v>14</v>
      </c>
      <c r="AW22" s="180" t="s">
        <v>15</v>
      </c>
      <c r="AX22" s="180"/>
      <c r="AY22" s="180" t="s">
        <v>26</v>
      </c>
      <c r="AZ22" s="180" t="s">
        <v>27</v>
      </c>
      <c r="BA22" s="180" t="s">
        <v>28</v>
      </c>
      <c r="BB22" s="181" t="s">
        <v>29</v>
      </c>
      <c r="BC22" s="180" t="s">
        <v>30</v>
      </c>
      <c r="BD22" s="126" t="s">
        <v>31</v>
      </c>
      <c r="BF22" s="123" t="s">
        <v>84</v>
      </c>
      <c r="BG22" s="180" t="s">
        <v>11</v>
      </c>
      <c r="BH22" s="180" t="s">
        <v>12</v>
      </c>
      <c r="BI22" s="180" t="s">
        <v>13</v>
      </c>
      <c r="BJ22" s="180" t="s">
        <v>14</v>
      </c>
      <c r="BK22" s="180" t="s">
        <v>15</v>
      </c>
      <c r="BL22" s="180"/>
      <c r="BM22" s="180" t="s">
        <v>26</v>
      </c>
      <c r="BN22" s="180" t="s">
        <v>27</v>
      </c>
      <c r="BO22" s="180" t="s">
        <v>28</v>
      </c>
      <c r="BP22" s="181" t="s">
        <v>29</v>
      </c>
      <c r="BQ22" s="180" t="s">
        <v>30</v>
      </c>
      <c r="BR22" s="126" t="s">
        <v>31</v>
      </c>
    </row>
    <row r="23" spans="2:70" x14ac:dyDescent="0.3">
      <c r="B23" s="52">
        <v>180000</v>
      </c>
      <c r="C23" s="45">
        <f>B23 / $G20</f>
        <v>95.744680851063833</v>
      </c>
      <c r="D23" s="45">
        <f>SUM($B20,$C20,$D20,$E20)</f>
        <v>0.44999999999999996</v>
      </c>
      <c r="E23" s="45">
        <f>(B23 * D23) / $G20</f>
        <v>43.085106382978715</v>
      </c>
      <c r="F23" s="45">
        <f>C23 + E23</f>
        <v>138.82978723404256</v>
      </c>
      <c r="G23" s="45">
        <f>F23 * (1+$F20)</f>
        <v>173.53723404255319</v>
      </c>
      <c r="H23" s="127"/>
      <c r="I23" s="45">
        <f>G20 * I20</f>
        <v>329000</v>
      </c>
      <c r="J23" s="45">
        <f>_xlfn.IFS(M20 = "Yes",G20 * (J20 + L20),M20 &lt;&gt; "Yes",G20 * (J20))</f>
        <v>273000</v>
      </c>
      <c r="K23" s="45">
        <f>I23 - J23</f>
        <v>56000</v>
      </c>
      <c r="L23" s="46">
        <f>K23 / I23</f>
        <v>0.1702127659574468</v>
      </c>
      <c r="M23" s="45">
        <f>I23 / 12</f>
        <v>27416.666666666668</v>
      </c>
      <c r="N23" s="47">
        <f>K23 / 12</f>
        <v>4666.666666666667</v>
      </c>
      <c r="O23" s="118"/>
      <c r="P23" s="52">
        <v>180000</v>
      </c>
      <c r="Q23" s="45">
        <f>P23 / $G20</f>
        <v>95.744680851063833</v>
      </c>
      <c r="R23" s="45">
        <f>SUM($B20,$C20,$D20,$E20)</f>
        <v>0.44999999999999996</v>
      </c>
      <c r="S23" s="45">
        <f>(P23 * R23) / $G20</f>
        <v>43.085106382978715</v>
      </c>
      <c r="T23" s="45">
        <f>Q23 + S23</f>
        <v>138.82978723404256</v>
      </c>
      <c r="U23" s="45">
        <f>T23 * (1+$F20)</f>
        <v>173.53723404255319</v>
      </c>
      <c r="V23" s="127"/>
      <c r="W23" s="45">
        <f>U20 * W20</f>
        <v>340280</v>
      </c>
      <c r="X23" s="45">
        <f>_xlfn.IFS(AA20 = "Yes",U20 * (X20 + Z20),AA20 &lt;&gt; "Yes",U20 * (X20))</f>
        <v>273000</v>
      </c>
      <c r="Y23" s="45">
        <f>W23 - X23</f>
        <v>67280</v>
      </c>
      <c r="Z23" s="46">
        <f>Y23 / W23</f>
        <v>0.19771952509697896</v>
      </c>
      <c r="AA23" s="45">
        <f>W23 / 12</f>
        <v>28356.666666666668</v>
      </c>
      <c r="AB23" s="47">
        <f>Y23 / 12</f>
        <v>5606.666666666667</v>
      </c>
      <c r="AR23" s="52">
        <v>180000</v>
      </c>
      <c r="AS23" s="45">
        <f>AR23 / $G20</f>
        <v>95.744680851063833</v>
      </c>
      <c r="AT23" s="45">
        <f>SUM($B20,$C20,$D20,$E20)</f>
        <v>0.44999999999999996</v>
      </c>
      <c r="AU23" s="45">
        <f>(AR23 * AT23) / $G20</f>
        <v>43.085106382978715</v>
      </c>
      <c r="AV23" s="45">
        <f>AS23 + AU23</f>
        <v>138.82978723404256</v>
      </c>
      <c r="AW23" s="45">
        <f>AV23 * (1+$F20)</f>
        <v>173.53723404255319</v>
      </c>
      <c r="AX23" s="127"/>
      <c r="AY23" s="45">
        <f>AW20 * AY20</f>
        <v>329000</v>
      </c>
      <c r="AZ23" s="45">
        <f>_xlfn.IFS(BC20 = "Yes",AW20 * (AZ20 + BB20),BC20 &lt;&gt; "Yes",AW20 * (AZ20))</f>
        <v>273000</v>
      </c>
      <c r="BA23" s="45">
        <f>AY23 - AZ23</f>
        <v>56000</v>
      </c>
      <c r="BB23" s="46">
        <f>BA23 / AY23</f>
        <v>0.1702127659574468</v>
      </c>
      <c r="BC23" s="45">
        <f>AY23 / 12</f>
        <v>27416.666666666668</v>
      </c>
      <c r="BD23" s="47">
        <f>BA23 / 12</f>
        <v>4666.666666666667</v>
      </c>
      <c r="BF23" s="52">
        <v>180000</v>
      </c>
      <c r="BG23" s="45">
        <f>BF23 / $G20</f>
        <v>95.744680851063833</v>
      </c>
      <c r="BH23" s="45">
        <f>SUM($B20,$C20,$D20,$E20)</f>
        <v>0.44999999999999996</v>
      </c>
      <c r="BI23" s="45">
        <f>(BF23 * BH23) / $G20</f>
        <v>43.085106382978715</v>
      </c>
      <c r="BJ23" s="45">
        <f>BG23 + BI23</f>
        <v>138.82978723404256</v>
      </c>
      <c r="BK23" s="45">
        <f>BJ23 * (1+$F20)</f>
        <v>173.53723404255319</v>
      </c>
      <c r="BL23" s="127"/>
      <c r="BM23" s="45">
        <f>BK20 * BM20</f>
        <v>329000</v>
      </c>
      <c r="BN23" s="45">
        <f>_xlfn.IFS(BQ20 = "Yes",BK20 * (BN20 + BP20),BQ20 &lt;&gt; "Yes",BK20 * (BN20))</f>
        <v>273000</v>
      </c>
      <c r="BO23" s="45">
        <f>BM23 - BN23</f>
        <v>56000</v>
      </c>
      <c r="BP23" s="46">
        <f>BO23 / BM23</f>
        <v>0.1702127659574468</v>
      </c>
      <c r="BQ23" s="45">
        <f>BM23 / 12</f>
        <v>27416.666666666668</v>
      </c>
      <c r="BR23" s="47">
        <f>BO23 / 12</f>
        <v>4666.666666666667</v>
      </c>
    </row>
    <row r="25" spans="2:70" ht="21" x14ac:dyDescent="0.4">
      <c r="B25" s="49" t="s">
        <v>221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1"/>
      <c r="O25" s="214"/>
      <c r="P25" s="49" t="s">
        <v>221</v>
      </c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R25" s="49" t="s">
        <v>221</v>
      </c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1"/>
      <c r="BF25" s="49" t="s">
        <v>221</v>
      </c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1"/>
    </row>
    <row r="26" spans="2:70" ht="72" x14ac:dyDescent="0.3">
      <c r="B26" s="33" t="s">
        <v>1</v>
      </c>
      <c r="C26" s="34" t="s">
        <v>3</v>
      </c>
      <c r="D26" s="34" t="s">
        <v>2</v>
      </c>
      <c r="E26" s="34" t="s">
        <v>4</v>
      </c>
      <c r="F26" s="34" t="s">
        <v>6</v>
      </c>
      <c r="G26" s="34" t="s">
        <v>5</v>
      </c>
      <c r="H26" s="34"/>
      <c r="I26" s="34" t="s">
        <v>19</v>
      </c>
      <c r="J26" s="34" t="s">
        <v>20</v>
      </c>
      <c r="K26" s="34" t="s">
        <v>21</v>
      </c>
      <c r="L26" s="35" t="s">
        <v>22</v>
      </c>
      <c r="M26" s="34" t="s">
        <v>23</v>
      </c>
      <c r="N26" s="36" t="s">
        <v>24</v>
      </c>
      <c r="O26" s="34"/>
      <c r="P26" s="33" t="s">
        <v>1</v>
      </c>
      <c r="Q26" s="34" t="s">
        <v>3</v>
      </c>
      <c r="R26" s="34" t="s">
        <v>2</v>
      </c>
      <c r="S26" s="34" t="s">
        <v>4</v>
      </c>
      <c r="T26" s="34" t="s">
        <v>6</v>
      </c>
      <c r="U26" s="34" t="s">
        <v>5</v>
      </c>
      <c r="V26" s="34"/>
      <c r="W26" s="34" t="s">
        <v>19</v>
      </c>
      <c r="X26" s="34" t="s">
        <v>20</v>
      </c>
      <c r="Y26" s="34" t="s">
        <v>21</v>
      </c>
      <c r="Z26" s="78" t="s">
        <v>22</v>
      </c>
      <c r="AA26" s="34" t="s">
        <v>23</v>
      </c>
      <c r="AB26" s="36" t="s">
        <v>24</v>
      </c>
      <c r="AR26" s="33" t="s">
        <v>1</v>
      </c>
      <c r="AS26" s="77" t="s">
        <v>3</v>
      </c>
      <c r="AT26" s="77" t="s">
        <v>2</v>
      </c>
      <c r="AU26" s="77" t="s">
        <v>4</v>
      </c>
      <c r="AV26" s="77" t="s">
        <v>6</v>
      </c>
      <c r="AW26" s="77" t="s">
        <v>5</v>
      </c>
      <c r="AX26" s="77"/>
      <c r="AY26" s="77" t="s">
        <v>19</v>
      </c>
      <c r="AZ26" s="77" t="s">
        <v>20</v>
      </c>
      <c r="BA26" s="77" t="s">
        <v>21</v>
      </c>
      <c r="BB26" s="78" t="s">
        <v>22</v>
      </c>
      <c r="BC26" s="77" t="s">
        <v>23</v>
      </c>
      <c r="BD26" s="36" t="s">
        <v>24</v>
      </c>
      <c r="BF26" s="33" t="s">
        <v>1</v>
      </c>
      <c r="BG26" s="77" t="s">
        <v>3</v>
      </c>
      <c r="BH26" s="77" t="s">
        <v>2</v>
      </c>
      <c r="BI26" s="77" t="s">
        <v>4</v>
      </c>
      <c r="BJ26" s="77" t="s">
        <v>6</v>
      </c>
      <c r="BK26" s="77" t="s">
        <v>5</v>
      </c>
      <c r="BL26" s="77"/>
      <c r="BM26" s="77" t="s">
        <v>19</v>
      </c>
      <c r="BN26" s="77" t="s">
        <v>20</v>
      </c>
      <c r="BO26" s="77" t="s">
        <v>21</v>
      </c>
      <c r="BP26" s="78" t="s">
        <v>22</v>
      </c>
      <c r="BQ26" s="77" t="s">
        <v>23</v>
      </c>
      <c r="BR26" s="36" t="s">
        <v>24</v>
      </c>
    </row>
    <row r="27" spans="2:70" x14ac:dyDescent="0.3">
      <c r="B27" s="55">
        <v>0.13</v>
      </c>
      <c r="C27" s="53">
        <v>0.1</v>
      </c>
      <c r="D27" s="53">
        <v>0.12</v>
      </c>
      <c r="E27" s="53">
        <v>0.1</v>
      </c>
      <c r="F27" s="53">
        <v>0.25</v>
      </c>
      <c r="G27" s="115">
        <v>1880</v>
      </c>
      <c r="H27" s="121"/>
      <c r="I27" s="146">
        <v>115</v>
      </c>
      <c r="J27" s="118">
        <f>F30</f>
        <v>84.840425531914889</v>
      </c>
      <c r="K27" s="118">
        <f>I27 - J27</f>
        <v>30.159574468085111</v>
      </c>
      <c r="L27" s="118">
        <f>1000 / (G27 / 12)</f>
        <v>6.3829787234042561</v>
      </c>
      <c r="M27" s="115" t="s">
        <v>87</v>
      </c>
      <c r="N27" s="119">
        <f>_xlfn.IFS(M27 = "Yes",K27 - L27,M27 = "No",K27)</f>
        <v>23.776595744680854</v>
      </c>
      <c r="O27" s="118"/>
      <c r="P27" s="55">
        <v>0.13</v>
      </c>
      <c r="Q27" s="80">
        <v>0.1</v>
      </c>
      <c r="R27" s="80">
        <v>0.12</v>
      </c>
      <c r="S27" s="80">
        <v>0.1</v>
      </c>
      <c r="T27" s="80">
        <v>0.25</v>
      </c>
      <c r="U27" s="176">
        <v>1880</v>
      </c>
      <c r="V27" s="177"/>
      <c r="W27" s="178">
        <v>119</v>
      </c>
      <c r="X27" s="118">
        <f>T30</f>
        <v>84.840425531914889</v>
      </c>
      <c r="Y27" s="118">
        <f>W27 - X27</f>
        <v>34.159574468085111</v>
      </c>
      <c r="Z27" s="118">
        <f>1000 / (U27 / 12)</f>
        <v>6.3829787234042561</v>
      </c>
      <c r="AA27" s="176" t="s">
        <v>87</v>
      </c>
      <c r="AB27" s="119">
        <f>_xlfn.IFS(AA27 = "Yes",Y27 - Z27,AA27 = "No",Y27)</f>
        <v>27.776595744680854</v>
      </c>
      <c r="AR27" s="55">
        <v>0.13</v>
      </c>
      <c r="AS27" s="80">
        <v>0.1</v>
      </c>
      <c r="AT27" s="80">
        <v>0.12</v>
      </c>
      <c r="AU27" s="80">
        <v>0.1</v>
      </c>
      <c r="AV27" s="80">
        <v>0.25</v>
      </c>
      <c r="AW27" s="176">
        <v>1880</v>
      </c>
      <c r="AX27" s="177"/>
      <c r="AY27" s="178">
        <v>110</v>
      </c>
      <c r="AZ27" s="179">
        <f>AV30</f>
        <v>84.840425531914889</v>
      </c>
      <c r="BA27" s="179">
        <f>AY27 - AZ27</f>
        <v>25.159574468085111</v>
      </c>
      <c r="BB27" s="179">
        <f>1000 / (AW27 / 12)</f>
        <v>6.3829787234042561</v>
      </c>
      <c r="BC27" s="176" t="s">
        <v>87</v>
      </c>
      <c r="BD27" s="119">
        <f>_xlfn.IFS(BC27 = "Yes",BA27 - BB27,BC27 = "No",BA27)</f>
        <v>18.776595744680854</v>
      </c>
      <c r="BF27" s="55">
        <v>0.13</v>
      </c>
      <c r="BG27" s="80">
        <v>0.1</v>
      </c>
      <c r="BH27" s="80">
        <v>0.12</v>
      </c>
      <c r="BI27" s="80">
        <v>0.1</v>
      </c>
      <c r="BJ27" s="80">
        <v>0.25</v>
      </c>
      <c r="BK27" s="176">
        <v>1880</v>
      </c>
      <c r="BL27" s="177"/>
      <c r="BM27" s="178">
        <v>107</v>
      </c>
      <c r="BN27" s="179">
        <f>BJ30</f>
        <v>84.840425531914889</v>
      </c>
      <c r="BO27" s="179">
        <f>BM27 - BN27</f>
        <v>22.159574468085111</v>
      </c>
      <c r="BP27" s="179">
        <f>1000 / (BK27 / 12)</f>
        <v>6.3829787234042561</v>
      </c>
      <c r="BQ27" s="176" t="s">
        <v>87</v>
      </c>
      <c r="BR27" s="119">
        <f>_xlfn.IFS(BQ27 = "Yes",BO27 - BP27,BQ27 = "No",BO27)</f>
        <v>15.776595744680854</v>
      </c>
    </row>
    <row r="28" spans="2:70" x14ac:dyDescent="0.3">
      <c r="B28" s="120"/>
      <c r="C28" s="121"/>
      <c r="D28" s="121"/>
      <c r="E28" s="121"/>
      <c r="F28" s="121"/>
      <c r="G28" s="121"/>
      <c r="I28" s="121"/>
      <c r="J28" s="121"/>
      <c r="K28" s="121"/>
      <c r="L28" s="121"/>
      <c r="M28" s="121"/>
      <c r="N28" s="122"/>
      <c r="O28" s="215"/>
      <c r="P28" s="120"/>
      <c r="Q28" s="177"/>
      <c r="R28" s="177"/>
      <c r="S28" s="177"/>
      <c r="T28" s="177"/>
      <c r="U28" s="177"/>
      <c r="W28" s="177"/>
      <c r="X28" s="177"/>
      <c r="Y28" s="177"/>
      <c r="Z28" s="177"/>
      <c r="AA28" s="177"/>
      <c r="AB28" s="122"/>
      <c r="AR28" s="120"/>
      <c r="AS28" s="177"/>
      <c r="AT28" s="177"/>
      <c r="AU28" s="177"/>
      <c r="AV28" s="177"/>
      <c r="AW28" s="177"/>
      <c r="AY28" s="177"/>
      <c r="AZ28" s="177"/>
      <c r="BA28" s="177"/>
      <c r="BB28" s="177"/>
      <c r="BC28" s="177"/>
      <c r="BD28" s="122"/>
      <c r="BF28" s="120"/>
      <c r="BG28" s="177"/>
      <c r="BH28" s="177"/>
      <c r="BI28" s="177"/>
      <c r="BJ28" s="177"/>
      <c r="BK28" s="177"/>
      <c r="BM28" s="177"/>
      <c r="BN28" s="177"/>
      <c r="BO28" s="177"/>
      <c r="BP28" s="177"/>
      <c r="BQ28" s="177"/>
      <c r="BR28" s="122"/>
    </row>
    <row r="29" spans="2:70" ht="57.6" x14ac:dyDescent="0.3">
      <c r="B29" s="123" t="s">
        <v>84</v>
      </c>
      <c r="C29" s="124" t="s">
        <v>11</v>
      </c>
      <c r="D29" s="124" t="s">
        <v>12</v>
      </c>
      <c r="E29" s="124" t="s">
        <v>13</v>
      </c>
      <c r="F29" s="124" t="s">
        <v>14</v>
      </c>
      <c r="G29" s="124" t="s">
        <v>15</v>
      </c>
      <c r="H29" s="124"/>
      <c r="I29" s="124" t="s">
        <v>26</v>
      </c>
      <c r="J29" s="124" t="s">
        <v>27</v>
      </c>
      <c r="K29" s="124" t="s">
        <v>28</v>
      </c>
      <c r="L29" s="125" t="s">
        <v>29</v>
      </c>
      <c r="M29" s="124" t="s">
        <v>30</v>
      </c>
      <c r="N29" s="126" t="s">
        <v>31</v>
      </c>
      <c r="O29" s="124"/>
      <c r="P29" s="123" t="s">
        <v>84</v>
      </c>
      <c r="Q29" s="124" t="s">
        <v>11</v>
      </c>
      <c r="R29" s="124" t="s">
        <v>12</v>
      </c>
      <c r="S29" s="124" t="s">
        <v>13</v>
      </c>
      <c r="T29" s="124" t="s">
        <v>14</v>
      </c>
      <c r="U29" s="124" t="s">
        <v>15</v>
      </c>
      <c r="V29" s="124"/>
      <c r="W29" s="124" t="s">
        <v>26</v>
      </c>
      <c r="X29" s="124" t="s">
        <v>27</v>
      </c>
      <c r="Y29" s="124" t="s">
        <v>28</v>
      </c>
      <c r="Z29" s="181" t="s">
        <v>29</v>
      </c>
      <c r="AA29" s="124" t="s">
        <v>30</v>
      </c>
      <c r="AB29" s="126" t="s">
        <v>31</v>
      </c>
      <c r="AR29" s="123" t="s">
        <v>84</v>
      </c>
      <c r="AS29" s="180" t="s">
        <v>11</v>
      </c>
      <c r="AT29" s="180" t="s">
        <v>12</v>
      </c>
      <c r="AU29" s="180" t="s">
        <v>13</v>
      </c>
      <c r="AV29" s="180" t="s">
        <v>14</v>
      </c>
      <c r="AW29" s="180" t="s">
        <v>15</v>
      </c>
      <c r="AX29" s="180"/>
      <c r="AY29" s="180" t="s">
        <v>26</v>
      </c>
      <c r="AZ29" s="180" t="s">
        <v>27</v>
      </c>
      <c r="BA29" s="180" t="s">
        <v>28</v>
      </c>
      <c r="BB29" s="181" t="s">
        <v>29</v>
      </c>
      <c r="BC29" s="180" t="s">
        <v>30</v>
      </c>
      <c r="BD29" s="126" t="s">
        <v>31</v>
      </c>
      <c r="BF29" s="123" t="s">
        <v>84</v>
      </c>
      <c r="BG29" s="180" t="s">
        <v>11</v>
      </c>
      <c r="BH29" s="180" t="s">
        <v>12</v>
      </c>
      <c r="BI29" s="180" t="s">
        <v>13</v>
      </c>
      <c r="BJ29" s="180" t="s">
        <v>14</v>
      </c>
      <c r="BK29" s="180" t="s">
        <v>15</v>
      </c>
      <c r="BL29" s="180"/>
      <c r="BM29" s="180" t="s">
        <v>26</v>
      </c>
      <c r="BN29" s="180" t="s">
        <v>27</v>
      </c>
      <c r="BO29" s="180" t="s">
        <v>28</v>
      </c>
      <c r="BP29" s="181" t="s">
        <v>29</v>
      </c>
      <c r="BQ29" s="180" t="s">
        <v>30</v>
      </c>
      <c r="BR29" s="126" t="s">
        <v>31</v>
      </c>
    </row>
    <row r="30" spans="2:70" x14ac:dyDescent="0.3">
      <c r="B30" s="52">
        <v>110000</v>
      </c>
      <c r="C30" s="45">
        <f>B30 / $G27</f>
        <v>58.51063829787234</v>
      </c>
      <c r="D30" s="45">
        <f>SUM($B27,$C27,$D27,$E27)</f>
        <v>0.44999999999999996</v>
      </c>
      <c r="E30" s="45">
        <f>(B30 * D30) / $G27</f>
        <v>26.329787234042549</v>
      </c>
      <c r="F30" s="45">
        <f>C30 + E30</f>
        <v>84.840425531914889</v>
      </c>
      <c r="G30" s="45">
        <f>F30 * (1+$F27)</f>
        <v>106.05053191489361</v>
      </c>
      <c r="H30" s="127"/>
      <c r="I30" s="45">
        <f>G27 * I27</f>
        <v>216200</v>
      </c>
      <c r="J30" s="45">
        <f>_xlfn.IFS(M27 = "Yes",G27 * (J27 + L27),M27 &lt;&gt; "Yes",G27 * (J27))</f>
        <v>171499.99999999997</v>
      </c>
      <c r="K30" s="45">
        <f>I30 - J30</f>
        <v>44700.000000000029</v>
      </c>
      <c r="L30" s="46">
        <f>K30 / I30</f>
        <v>0.20675300647548581</v>
      </c>
      <c r="M30" s="45">
        <f>I30 / 12</f>
        <v>18016.666666666668</v>
      </c>
      <c r="N30" s="47">
        <f>K30 / 12</f>
        <v>3725.0000000000023</v>
      </c>
      <c r="O30" s="118"/>
      <c r="P30" s="52">
        <v>110000</v>
      </c>
      <c r="Q30" s="45">
        <f>P30 / $G27</f>
        <v>58.51063829787234</v>
      </c>
      <c r="R30" s="45">
        <f>SUM($B27,$C27,$D27,$E27)</f>
        <v>0.44999999999999996</v>
      </c>
      <c r="S30" s="45">
        <f>(P30 * R30) / $G27</f>
        <v>26.329787234042549</v>
      </c>
      <c r="T30" s="45">
        <f>Q30 + S30</f>
        <v>84.840425531914889</v>
      </c>
      <c r="U30" s="45">
        <f>T30 * (1+$F27)</f>
        <v>106.05053191489361</v>
      </c>
      <c r="V30" s="127"/>
      <c r="W30" s="45">
        <f>U27 * W27</f>
        <v>223720</v>
      </c>
      <c r="X30" s="45">
        <f>_xlfn.IFS(AA27 = "Yes",U27 * (X27 + Z27),AA27 &lt;&gt; "Yes",U27 * (X27))</f>
        <v>171499.99999999997</v>
      </c>
      <c r="Y30" s="45">
        <f>W30 - X30</f>
        <v>52220.000000000029</v>
      </c>
      <c r="Z30" s="46">
        <f>Y30 / W30</f>
        <v>0.23341677096370475</v>
      </c>
      <c r="AA30" s="45">
        <f>W30 / 12</f>
        <v>18643.333333333332</v>
      </c>
      <c r="AB30" s="47">
        <f>Y30 / 12</f>
        <v>4351.6666666666688</v>
      </c>
      <c r="AR30" s="52">
        <v>110000</v>
      </c>
      <c r="AS30" s="45">
        <f>AR30 / $G27</f>
        <v>58.51063829787234</v>
      </c>
      <c r="AT30" s="45">
        <f>SUM($B27,$C27,$D27,$E27)</f>
        <v>0.44999999999999996</v>
      </c>
      <c r="AU30" s="45">
        <f>(AR30 * AT30) / $G27</f>
        <v>26.329787234042549</v>
      </c>
      <c r="AV30" s="45">
        <f>AS30 + AU30</f>
        <v>84.840425531914889</v>
      </c>
      <c r="AW30" s="45">
        <f>AV30 * (1+$F27)</f>
        <v>106.05053191489361</v>
      </c>
      <c r="AX30" s="127"/>
      <c r="AY30" s="45">
        <f>AW27 * AY27</f>
        <v>206800</v>
      </c>
      <c r="AZ30" s="45">
        <f>_xlfn.IFS(BC27 = "Yes",AW27 * (AZ27 + BB27),BC27 &lt;&gt; "Yes",AW27 * (AZ27))</f>
        <v>171499.99999999997</v>
      </c>
      <c r="BA30" s="45">
        <f>AY30 - AZ30</f>
        <v>35300.000000000029</v>
      </c>
      <c r="BB30" s="46">
        <f>BA30 / AY30</f>
        <v>0.17069632495164425</v>
      </c>
      <c r="BC30" s="45">
        <f>AY30 / 12</f>
        <v>17233.333333333332</v>
      </c>
      <c r="BD30" s="47">
        <f>BA30 / 12</f>
        <v>2941.6666666666692</v>
      </c>
      <c r="BF30" s="52">
        <v>110000</v>
      </c>
      <c r="BG30" s="45">
        <f>BF30 / $G27</f>
        <v>58.51063829787234</v>
      </c>
      <c r="BH30" s="45">
        <f>SUM($B27,$C27,$D27,$E27)</f>
        <v>0.44999999999999996</v>
      </c>
      <c r="BI30" s="45">
        <f>(BF30 * BH30) / $G27</f>
        <v>26.329787234042549</v>
      </c>
      <c r="BJ30" s="45">
        <f>BG30 + BI30</f>
        <v>84.840425531914889</v>
      </c>
      <c r="BK30" s="45">
        <f>BJ30 * (1+$F27)</f>
        <v>106.05053191489361</v>
      </c>
      <c r="BL30" s="127"/>
      <c r="BM30" s="45">
        <f>BK27 * BM27</f>
        <v>201160</v>
      </c>
      <c r="BN30" s="45">
        <f>_xlfn.IFS(BQ27 = "Yes",BK27 * (BN27 + BP27),BQ27 &lt;&gt; "Yes",BK27 * (BN27))</f>
        <v>171499.99999999997</v>
      </c>
      <c r="BO30" s="45">
        <f>BM30 - BN30</f>
        <v>29660.000000000029</v>
      </c>
      <c r="BP30" s="46">
        <f>BO30 / BM30</f>
        <v>0.14744482004374643</v>
      </c>
      <c r="BQ30" s="45">
        <f>BM30 / 12</f>
        <v>16763.333333333332</v>
      </c>
      <c r="BR30" s="47">
        <f>BO30 / 12</f>
        <v>2471.6666666666692</v>
      </c>
    </row>
    <row r="32" spans="2:70" ht="21" x14ac:dyDescent="0.4">
      <c r="B32" s="49" t="s">
        <v>222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1"/>
      <c r="O32" s="214"/>
      <c r="P32" s="49" t="s">
        <v>222</v>
      </c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R32" s="216" t="s">
        <v>222</v>
      </c>
      <c r="AS32" s="217"/>
      <c r="AT32" s="217"/>
      <c r="AU32" s="217"/>
      <c r="AV32" s="217"/>
      <c r="AW32" s="217"/>
      <c r="AX32" s="217"/>
      <c r="AY32" s="217"/>
      <c r="AZ32" s="217"/>
      <c r="BA32" s="217"/>
      <c r="BB32" s="217"/>
      <c r="BC32" s="217"/>
      <c r="BD32" s="218"/>
      <c r="BE32" s="219"/>
      <c r="BF32" s="216" t="s">
        <v>222</v>
      </c>
      <c r="BG32" s="217"/>
      <c r="BH32" s="217"/>
      <c r="BI32" s="217"/>
      <c r="BJ32" s="217"/>
      <c r="BK32" s="217"/>
      <c r="BL32" s="217"/>
      <c r="BM32" s="217"/>
      <c r="BN32" s="217"/>
      <c r="BO32" s="217"/>
      <c r="BP32" s="217"/>
      <c r="BQ32" s="217"/>
      <c r="BR32" s="218"/>
    </row>
    <row r="33" spans="2:70" ht="72" x14ac:dyDescent="0.3">
      <c r="B33" s="33" t="s">
        <v>1</v>
      </c>
      <c r="C33" s="34" t="s">
        <v>3</v>
      </c>
      <c r="D33" s="34" t="s">
        <v>2</v>
      </c>
      <c r="E33" s="34" t="s">
        <v>4</v>
      </c>
      <c r="F33" s="34" t="s">
        <v>6</v>
      </c>
      <c r="G33" s="34" t="s">
        <v>5</v>
      </c>
      <c r="H33" s="34"/>
      <c r="I33" s="34" t="s">
        <v>19</v>
      </c>
      <c r="J33" s="34" t="s">
        <v>20</v>
      </c>
      <c r="K33" s="34" t="s">
        <v>21</v>
      </c>
      <c r="L33" s="35" t="s">
        <v>22</v>
      </c>
      <c r="M33" s="34" t="s">
        <v>23</v>
      </c>
      <c r="N33" s="36" t="s">
        <v>24</v>
      </c>
      <c r="O33" s="34"/>
      <c r="P33" s="33" t="s">
        <v>1</v>
      </c>
      <c r="Q33" s="34" t="s">
        <v>3</v>
      </c>
      <c r="R33" s="34" t="s">
        <v>2</v>
      </c>
      <c r="S33" s="34" t="s">
        <v>4</v>
      </c>
      <c r="T33" s="34" t="s">
        <v>6</v>
      </c>
      <c r="U33" s="34" t="s">
        <v>5</v>
      </c>
      <c r="V33" s="34"/>
      <c r="W33" s="34" t="s">
        <v>19</v>
      </c>
      <c r="X33" s="34" t="s">
        <v>20</v>
      </c>
      <c r="Y33" s="34" t="s">
        <v>21</v>
      </c>
      <c r="Z33" s="78" t="s">
        <v>22</v>
      </c>
      <c r="AA33" s="34" t="s">
        <v>23</v>
      </c>
      <c r="AB33" s="36" t="s">
        <v>24</v>
      </c>
      <c r="AR33" s="220" t="s">
        <v>1</v>
      </c>
      <c r="AS33" s="221" t="s">
        <v>3</v>
      </c>
      <c r="AT33" s="221" t="s">
        <v>2</v>
      </c>
      <c r="AU33" s="221" t="s">
        <v>4</v>
      </c>
      <c r="AV33" s="221" t="s">
        <v>6</v>
      </c>
      <c r="AW33" s="221" t="s">
        <v>5</v>
      </c>
      <c r="AX33" s="221"/>
      <c r="AY33" s="221" t="s">
        <v>19</v>
      </c>
      <c r="AZ33" s="221" t="s">
        <v>20</v>
      </c>
      <c r="BA33" s="221" t="s">
        <v>21</v>
      </c>
      <c r="BB33" s="222" t="s">
        <v>22</v>
      </c>
      <c r="BC33" s="221" t="s">
        <v>23</v>
      </c>
      <c r="BD33" s="223" t="s">
        <v>24</v>
      </c>
      <c r="BE33" s="219"/>
      <c r="BF33" s="220" t="s">
        <v>1</v>
      </c>
      <c r="BG33" s="221" t="s">
        <v>3</v>
      </c>
      <c r="BH33" s="221" t="s">
        <v>2</v>
      </c>
      <c r="BI33" s="221" t="s">
        <v>4</v>
      </c>
      <c r="BJ33" s="221" t="s">
        <v>6</v>
      </c>
      <c r="BK33" s="221" t="s">
        <v>5</v>
      </c>
      <c r="BL33" s="221"/>
      <c r="BM33" s="221" t="s">
        <v>19</v>
      </c>
      <c r="BN33" s="221" t="s">
        <v>20</v>
      </c>
      <c r="BO33" s="221" t="s">
        <v>21</v>
      </c>
      <c r="BP33" s="222" t="s">
        <v>22</v>
      </c>
      <c r="BQ33" s="221" t="s">
        <v>23</v>
      </c>
      <c r="BR33" s="223" t="s">
        <v>24</v>
      </c>
    </row>
    <row r="34" spans="2:70" x14ac:dyDescent="0.3">
      <c r="B34" s="55">
        <v>0.13</v>
      </c>
      <c r="C34" s="53">
        <v>0.1</v>
      </c>
      <c r="D34" s="53">
        <v>0.12</v>
      </c>
      <c r="E34" s="53">
        <v>0.1</v>
      </c>
      <c r="F34" s="53">
        <v>0.25</v>
      </c>
      <c r="G34" s="115">
        <v>1880</v>
      </c>
      <c r="H34" s="121"/>
      <c r="I34" s="146">
        <v>120</v>
      </c>
      <c r="J34" s="118">
        <f>F37</f>
        <v>88.696808510638292</v>
      </c>
      <c r="K34" s="118">
        <f>I34 - J34</f>
        <v>31.303191489361708</v>
      </c>
      <c r="L34" s="118">
        <f>1000 / (G34 / 12)</f>
        <v>6.3829787234042561</v>
      </c>
      <c r="M34" s="115" t="s">
        <v>87</v>
      </c>
      <c r="N34" s="119">
        <f>_xlfn.IFS(M34 = "Yes",K34 - L34,M34 = "No",K34)</f>
        <v>24.920212765957451</v>
      </c>
      <c r="O34" s="118"/>
      <c r="P34" s="55">
        <v>0.13</v>
      </c>
      <c r="Q34" s="80">
        <v>0.1</v>
      </c>
      <c r="R34" s="80">
        <v>0.12</v>
      </c>
      <c r="S34" s="80">
        <v>0.1</v>
      </c>
      <c r="T34" s="80">
        <v>0.25</v>
      </c>
      <c r="U34" s="176">
        <v>1880</v>
      </c>
      <c r="V34" s="177"/>
      <c r="W34" s="178">
        <v>124</v>
      </c>
      <c r="X34" s="118">
        <f>T37</f>
        <v>88.696808510638292</v>
      </c>
      <c r="Y34" s="118">
        <f>W34 - X34</f>
        <v>35.303191489361708</v>
      </c>
      <c r="Z34" s="118">
        <f>1000 / (U34 / 12)</f>
        <v>6.3829787234042561</v>
      </c>
      <c r="AA34" s="176" t="s">
        <v>87</v>
      </c>
      <c r="AB34" s="119">
        <f>_xlfn.IFS(AA34 = "Yes",Y34 - Z34,AA34 = "No",Y34)</f>
        <v>28.920212765957451</v>
      </c>
      <c r="AR34" s="224">
        <v>0.13</v>
      </c>
      <c r="AS34" s="225">
        <v>0.1</v>
      </c>
      <c r="AT34" s="225">
        <v>0.12</v>
      </c>
      <c r="AU34" s="225">
        <v>0.1</v>
      </c>
      <c r="AV34" s="225">
        <v>0.25</v>
      </c>
      <c r="AW34" s="226">
        <v>1880</v>
      </c>
      <c r="AX34" s="227"/>
      <c r="AY34" s="228">
        <v>120</v>
      </c>
      <c r="AZ34" s="229">
        <f>AV37</f>
        <v>88.696808510638292</v>
      </c>
      <c r="BA34" s="229">
        <f>AY34 - AZ34</f>
        <v>31.303191489361708</v>
      </c>
      <c r="BB34" s="229">
        <f>1000 / (AW34 / 12)</f>
        <v>6.3829787234042561</v>
      </c>
      <c r="BC34" s="226" t="s">
        <v>87</v>
      </c>
      <c r="BD34" s="230">
        <f>_xlfn.IFS(BC34 = "Yes",BA34 - BB34,BC34 = "No",BA34)</f>
        <v>24.920212765957451</v>
      </c>
      <c r="BE34" s="219"/>
      <c r="BF34" s="224">
        <v>0.13</v>
      </c>
      <c r="BG34" s="225">
        <v>0.1</v>
      </c>
      <c r="BH34" s="225">
        <v>0.12</v>
      </c>
      <c r="BI34" s="225">
        <v>0.1</v>
      </c>
      <c r="BJ34" s="225">
        <v>0.25</v>
      </c>
      <c r="BK34" s="226">
        <v>1880</v>
      </c>
      <c r="BL34" s="227"/>
      <c r="BM34" s="228">
        <v>120</v>
      </c>
      <c r="BN34" s="229">
        <f>BJ37</f>
        <v>88.696808510638292</v>
      </c>
      <c r="BO34" s="229">
        <f>BM34 - BN34</f>
        <v>31.303191489361708</v>
      </c>
      <c r="BP34" s="229">
        <f>1000 / (BK34 / 12)</f>
        <v>6.3829787234042561</v>
      </c>
      <c r="BQ34" s="226" t="s">
        <v>87</v>
      </c>
      <c r="BR34" s="230">
        <f>_xlfn.IFS(BQ34 = "Yes",BO34 - BP34,BQ34 = "No",BO34)</f>
        <v>24.920212765957451</v>
      </c>
    </row>
    <row r="35" spans="2:70" x14ac:dyDescent="0.3">
      <c r="B35" s="120"/>
      <c r="C35" s="121"/>
      <c r="D35" s="121"/>
      <c r="E35" s="121"/>
      <c r="F35" s="121"/>
      <c r="G35" s="121"/>
      <c r="I35" s="121"/>
      <c r="J35" s="121"/>
      <c r="K35" s="121"/>
      <c r="L35" s="121"/>
      <c r="M35" s="121"/>
      <c r="N35" s="122"/>
      <c r="O35" s="215"/>
      <c r="P35" s="120"/>
      <c r="Q35" s="177"/>
      <c r="R35" s="177"/>
      <c r="S35" s="177"/>
      <c r="T35" s="177"/>
      <c r="U35" s="177"/>
      <c r="W35" s="177"/>
      <c r="X35" s="177"/>
      <c r="Y35" s="177"/>
      <c r="Z35" s="177"/>
      <c r="AA35" s="177"/>
      <c r="AB35" s="122"/>
      <c r="AR35" s="231"/>
      <c r="AS35" s="227"/>
      <c r="AT35" s="227"/>
      <c r="AU35" s="227"/>
      <c r="AV35" s="227"/>
      <c r="AW35" s="227"/>
      <c r="AX35" s="219"/>
      <c r="AY35" s="227"/>
      <c r="AZ35" s="227"/>
      <c r="BA35" s="227"/>
      <c r="BB35" s="227"/>
      <c r="BC35" s="227"/>
      <c r="BD35" s="232"/>
      <c r="BE35" s="219"/>
      <c r="BF35" s="231"/>
      <c r="BG35" s="227"/>
      <c r="BH35" s="227"/>
      <c r="BI35" s="227"/>
      <c r="BJ35" s="227"/>
      <c r="BK35" s="227"/>
      <c r="BL35" s="219"/>
      <c r="BM35" s="227"/>
      <c r="BN35" s="227"/>
      <c r="BO35" s="227"/>
      <c r="BP35" s="227"/>
      <c r="BQ35" s="227"/>
      <c r="BR35" s="232"/>
    </row>
    <row r="36" spans="2:70" ht="57.6" x14ac:dyDescent="0.3">
      <c r="B36" s="123" t="s">
        <v>84</v>
      </c>
      <c r="C36" s="124" t="s">
        <v>11</v>
      </c>
      <c r="D36" s="124" t="s">
        <v>12</v>
      </c>
      <c r="E36" s="124" t="s">
        <v>13</v>
      </c>
      <c r="F36" s="124" t="s">
        <v>14</v>
      </c>
      <c r="G36" s="124" t="s">
        <v>15</v>
      </c>
      <c r="H36" s="124"/>
      <c r="I36" s="124" t="s">
        <v>26</v>
      </c>
      <c r="J36" s="124" t="s">
        <v>27</v>
      </c>
      <c r="K36" s="124" t="s">
        <v>28</v>
      </c>
      <c r="L36" s="125" t="s">
        <v>29</v>
      </c>
      <c r="M36" s="124" t="s">
        <v>30</v>
      </c>
      <c r="N36" s="126" t="s">
        <v>31</v>
      </c>
      <c r="O36" s="124"/>
      <c r="P36" s="123" t="s">
        <v>84</v>
      </c>
      <c r="Q36" s="124" t="s">
        <v>11</v>
      </c>
      <c r="R36" s="124" t="s">
        <v>12</v>
      </c>
      <c r="S36" s="124" t="s">
        <v>13</v>
      </c>
      <c r="T36" s="124" t="s">
        <v>14</v>
      </c>
      <c r="U36" s="124" t="s">
        <v>15</v>
      </c>
      <c r="V36" s="124"/>
      <c r="W36" s="124" t="s">
        <v>26</v>
      </c>
      <c r="X36" s="124" t="s">
        <v>27</v>
      </c>
      <c r="Y36" s="124" t="s">
        <v>28</v>
      </c>
      <c r="Z36" s="181" t="s">
        <v>29</v>
      </c>
      <c r="AA36" s="124" t="s">
        <v>30</v>
      </c>
      <c r="AB36" s="126" t="s">
        <v>31</v>
      </c>
      <c r="AR36" s="233" t="s">
        <v>84</v>
      </c>
      <c r="AS36" s="234" t="s">
        <v>11</v>
      </c>
      <c r="AT36" s="234" t="s">
        <v>12</v>
      </c>
      <c r="AU36" s="234" t="s">
        <v>13</v>
      </c>
      <c r="AV36" s="234" t="s">
        <v>14</v>
      </c>
      <c r="AW36" s="234" t="s">
        <v>15</v>
      </c>
      <c r="AX36" s="234"/>
      <c r="AY36" s="234" t="s">
        <v>26</v>
      </c>
      <c r="AZ36" s="234" t="s">
        <v>27</v>
      </c>
      <c r="BA36" s="234" t="s">
        <v>28</v>
      </c>
      <c r="BB36" s="235" t="s">
        <v>29</v>
      </c>
      <c r="BC36" s="234" t="s">
        <v>30</v>
      </c>
      <c r="BD36" s="236" t="s">
        <v>31</v>
      </c>
      <c r="BE36" s="219"/>
      <c r="BF36" s="233" t="s">
        <v>84</v>
      </c>
      <c r="BG36" s="234" t="s">
        <v>11</v>
      </c>
      <c r="BH36" s="234" t="s">
        <v>12</v>
      </c>
      <c r="BI36" s="234" t="s">
        <v>13</v>
      </c>
      <c r="BJ36" s="234" t="s">
        <v>14</v>
      </c>
      <c r="BK36" s="234" t="s">
        <v>15</v>
      </c>
      <c r="BL36" s="234"/>
      <c r="BM36" s="234" t="s">
        <v>26</v>
      </c>
      <c r="BN36" s="234" t="s">
        <v>27</v>
      </c>
      <c r="BO36" s="234" t="s">
        <v>28</v>
      </c>
      <c r="BP36" s="235" t="s">
        <v>29</v>
      </c>
      <c r="BQ36" s="234" t="s">
        <v>30</v>
      </c>
      <c r="BR36" s="236" t="s">
        <v>31</v>
      </c>
    </row>
    <row r="37" spans="2:70" x14ac:dyDescent="0.3">
      <c r="B37" s="52">
        <v>115000</v>
      </c>
      <c r="C37" s="45">
        <f>B37 / $G34</f>
        <v>61.170212765957444</v>
      </c>
      <c r="D37" s="45">
        <f>SUM($B34,$C34,$D34,$E34)</f>
        <v>0.44999999999999996</v>
      </c>
      <c r="E37" s="45">
        <f>(B37 * D37) / $G34</f>
        <v>27.526595744680847</v>
      </c>
      <c r="F37" s="45">
        <f>C37 + E37</f>
        <v>88.696808510638292</v>
      </c>
      <c r="G37" s="45">
        <f>F37 * (1+$F34)</f>
        <v>110.87101063829786</v>
      </c>
      <c r="H37" s="127"/>
      <c r="I37" s="45">
        <f>G34 * I34</f>
        <v>225600</v>
      </c>
      <c r="J37" s="45">
        <f>_xlfn.IFS(M34 = "Yes",G34 * (J34 + L34),M34 &lt;&gt; "Yes",G34 * (J34))</f>
        <v>178749.99999999997</v>
      </c>
      <c r="K37" s="45">
        <f>I37 - J37</f>
        <v>46850.000000000029</v>
      </c>
      <c r="L37" s="46">
        <f>K37 / I37</f>
        <v>0.20766843971631219</v>
      </c>
      <c r="M37" s="45">
        <f>I37 / 12</f>
        <v>18800</v>
      </c>
      <c r="N37" s="47">
        <f>K37 / 12</f>
        <v>3904.1666666666692</v>
      </c>
      <c r="O37" s="118"/>
      <c r="P37" s="52">
        <v>115000</v>
      </c>
      <c r="Q37" s="45">
        <f>P37 / $G34</f>
        <v>61.170212765957444</v>
      </c>
      <c r="R37" s="45">
        <f>SUM($B34,$C34,$D34,$E34)</f>
        <v>0.44999999999999996</v>
      </c>
      <c r="S37" s="45">
        <f>(P37 * R37) / $G34</f>
        <v>27.526595744680847</v>
      </c>
      <c r="T37" s="45">
        <f>Q37 + S37</f>
        <v>88.696808510638292</v>
      </c>
      <c r="U37" s="45">
        <f>T37 * (1+$F34)</f>
        <v>110.87101063829786</v>
      </c>
      <c r="V37" s="127"/>
      <c r="W37" s="45">
        <f>U34 * W34</f>
        <v>233120</v>
      </c>
      <c r="X37" s="45">
        <f>_xlfn.IFS(AA34 = "Yes",U34 * (X34 + Z34),AA34 &lt;&gt; "Yes",U34 * (X34))</f>
        <v>178749.99999999997</v>
      </c>
      <c r="Y37" s="45">
        <f>W37 - X37</f>
        <v>54370.000000000029</v>
      </c>
      <c r="Z37" s="46">
        <f>Y37 / W37</f>
        <v>0.23322752230610858</v>
      </c>
      <c r="AA37" s="45">
        <f>W37 / 12</f>
        <v>19426.666666666668</v>
      </c>
      <c r="AB37" s="47">
        <f>Y37 / 12</f>
        <v>4530.8333333333358</v>
      </c>
      <c r="AR37" s="237">
        <v>115000</v>
      </c>
      <c r="AS37" s="238">
        <f>AR37 / $G34</f>
        <v>61.170212765957444</v>
      </c>
      <c r="AT37" s="238">
        <f>SUM($B34,$C34,$D34,$E34)</f>
        <v>0.44999999999999996</v>
      </c>
      <c r="AU37" s="238">
        <f>(AR37 * AT37) / $G34</f>
        <v>27.526595744680847</v>
      </c>
      <c r="AV37" s="238">
        <f>AS37 + AU37</f>
        <v>88.696808510638292</v>
      </c>
      <c r="AW37" s="238">
        <f>AV37 * (1+$F34)</f>
        <v>110.87101063829786</v>
      </c>
      <c r="AX37" s="239"/>
      <c r="AY37" s="238">
        <f>AW34 * AY34</f>
        <v>225600</v>
      </c>
      <c r="AZ37" s="238">
        <f>_xlfn.IFS(BC34 = "Yes",AW34 * (AZ34 + BB34),BC34 &lt;&gt; "Yes",AW34 * (AZ34))</f>
        <v>178749.99999999997</v>
      </c>
      <c r="BA37" s="238">
        <f>AY37 - AZ37</f>
        <v>46850.000000000029</v>
      </c>
      <c r="BB37" s="240">
        <f>BA37 / AY37</f>
        <v>0.20766843971631219</v>
      </c>
      <c r="BC37" s="238">
        <f>AY37 / 12</f>
        <v>18800</v>
      </c>
      <c r="BD37" s="241">
        <f>BA37 / 12</f>
        <v>3904.1666666666692</v>
      </c>
      <c r="BE37" s="219"/>
      <c r="BF37" s="237">
        <v>115000</v>
      </c>
      <c r="BG37" s="238">
        <f>BF37 / $G34</f>
        <v>61.170212765957444</v>
      </c>
      <c r="BH37" s="238">
        <f>SUM($B34,$C34,$D34,$E34)</f>
        <v>0.44999999999999996</v>
      </c>
      <c r="BI37" s="238">
        <f>(BF37 * BH37) / $G34</f>
        <v>27.526595744680847</v>
      </c>
      <c r="BJ37" s="238">
        <f>BG37 + BI37</f>
        <v>88.696808510638292</v>
      </c>
      <c r="BK37" s="238">
        <f>BJ37 * (1+$F34)</f>
        <v>110.87101063829786</v>
      </c>
      <c r="BL37" s="239"/>
      <c r="BM37" s="238">
        <f>BK34 * BM34</f>
        <v>225600</v>
      </c>
      <c r="BN37" s="238">
        <f>_xlfn.IFS(BQ34 = "Yes",BK34 * (BN34 + BP34),BQ34 &lt;&gt; "Yes",BK34 * (BN34))</f>
        <v>178749.99999999997</v>
      </c>
      <c r="BO37" s="238">
        <f>BM37 - BN37</f>
        <v>46850.000000000029</v>
      </c>
      <c r="BP37" s="240">
        <f>BO37 / BM37</f>
        <v>0.20766843971631219</v>
      </c>
      <c r="BQ37" s="238">
        <f>BM37 / 12</f>
        <v>18800</v>
      </c>
      <c r="BR37" s="241">
        <f>BO37 / 12</f>
        <v>3904.1666666666692</v>
      </c>
    </row>
    <row r="39" spans="2:70" ht="21" x14ac:dyDescent="0.4">
      <c r="B39" s="49" t="s">
        <v>223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1"/>
      <c r="O39" s="214"/>
      <c r="P39" s="49" t="s">
        <v>223</v>
      </c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/>
      <c r="AR39" s="49" t="s">
        <v>223</v>
      </c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1"/>
      <c r="BF39" s="49" t="s">
        <v>223</v>
      </c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1"/>
    </row>
    <row r="40" spans="2:70" ht="72" x14ac:dyDescent="0.3">
      <c r="B40" s="33" t="s">
        <v>1</v>
      </c>
      <c r="C40" s="34" t="s">
        <v>3</v>
      </c>
      <c r="D40" s="34" t="s">
        <v>2</v>
      </c>
      <c r="E40" s="34" t="s">
        <v>4</v>
      </c>
      <c r="F40" s="34" t="s">
        <v>6</v>
      </c>
      <c r="G40" s="34" t="s">
        <v>5</v>
      </c>
      <c r="H40" s="34"/>
      <c r="I40" s="34" t="s">
        <v>19</v>
      </c>
      <c r="J40" s="34" t="s">
        <v>20</v>
      </c>
      <c r="K40" s="34" t="s">
        <v>21</v>
      </c>
      <c r="L40" s="35" t="s">
        <v>22</v>
      </c>
      <c r="M40" s="34" t="s">
        <v>23</v>
      </c>
      <c r="N40" s="36" t="s">
        <v>24</v>
      </c>
      <c r="O40" s="34"/>
      <c r="P40" s="33" t="s">
        <v>1</v>
      </c>
      <c r="Q40" s="34" t="s">
        <v>3</v>
      </c>
      <c r="R40" s="34" t="s">
        <v>2</v>
      </c>
      <c r="S40" s="34" t="s">
        <v>4</v>
      </c>
      <c r="T40" s="34" t="s">
        <v>6</v>
      </c>
      <c r="U40" s="34" t="s">
        <v>5</v>
      </c>
      <c r="V40" s="34"/>
      <c r="W40" s="34" t="s">
        <v>19</v>
      </c>
      <c r="X40" s="34" t="s">
        <v>20</v>
      </c>
      <c r="Y40" s="34" t="s">
        <v>21</v>
      </c>
      <c r="Z40" s="78" t="s">
        <v>22</v>
      </c>
      <c r="AA40" s="34" t="s">
        <v>23</v>
      </c>
      <c r="AB40" s="36" t="s">
        <v>24</v>
      </c>
      <c r="AR40" s="33" t="s">
        <v>1</v>
      </c>
      <c r="AS40" s="77" t="s">
        <v>3</v>
      </c>
      <c r="AT40" s="77" t="s">
        <v>2</v>
      </c>
      <c r="AU40" s="77" t="s">
        <v>4</v>
      </c>
      <c r="AV40" s="77" t="s">
        <v>6</v>
      </c>
      <c r="AW40" s="77" t="s">
        <v>5</v>
      </c>
      <c r="AX40" s="77"/>
      <c r="AY40" s="77" t="s">
        <v>19</v>
      </c>
      <c r="AZ40" s="77" t="s">
        <v>20</v>
      </c>
      <c r="BA40" s="77" t="s">
        <v>21</v>
      </c>
      <c r="BB40" s="78" t="s">
        <v>22</v>
      </c>
      <c r="BC40" s="77" t="s">
        <v>23</v>
      </c>
      <c r="BD40" s="36" t="s">
        <v>24</v>
      </c>
      <c r="BF40" s="33" t="s">
        <v>1</v>
      </c>
      <c r="BG40" s="77" t="s">
        <v>3</v>
      </c>
      <c r="BH40" s="77" t="s">
        <v>2</v>
      </c>
      <c r="BI40" s="77" t="s">
        <v>4</v>
      </c>
      <c r="BJ40" s="77" t="s">
        <v>6</v>
      </c>
      <c r="BK40" s="77" t="s">
        <v>5</v>
      </c>
      <c r="BL40" s="77"/>
      <c r="BM40" s="77" t="s">
        <v>19</v>
      </c>
      <c r="BN40" s="77" t="s">
        <v>20</v>
      </c>
      <c r="BO40" s="77" t="s">
        <v>21</v>
      </c>
      <c r="BP40" s="78" t="s">
        <v>22</v>
      </c>
      <c r="BQ40" s="77" t="s">
        <v>23</v>
      </c>
      <c r="BR40" s="36" t="s">
        <v>24</v>
      </c>
    </row>
    <row r="41" spans="2:70" x14ac:dyDescent="0.3">
      <c r="B41" s="55">
        <v>0.13</v>
      </c>
      <c r="C41" s="53">
        <v>0.1</v>
      </c>
      <c r="D41" s="53">
        <v>0.12</v>
      </c>
      <c r="E41" s="53">
        <v>0.1</v>
      </c>
      <c r="F41" s="53">
        <v>0.25</v>
      </c>
      <c r="G41" s="115">
        <v>1880</v>
      </c>
      <c r="H41" s="121"/>
      <c r="I41" s="146">
        <v>120</v>
      </c>
      <c r="J41" s="118">
        <f>F44</f>
        <v>88.696808510638292</v>
      </c>
      <c r="K41" s="118">
        <f>I41 - J41</f>
        <v>31.303191489361708</v>
      </c>
      <c r="L41" s="118">
        <f>1000 / (G41 / 12)</f>
        <v>6.3829787234042561</v>
      </c>
      <c r="M41" s="115" t="s">
        <v>87</v>
      </c>
      <c r="N41" s="119">
        <f>_xlfn.IFS(M41 = "Yes",K41 - L41,M41 = "No",K41)</f>
        <v>24.920212765957451</v>
      </c>
      <c r="O41" s="118"/>
      <c r="P41" s="55">
        <v>0.13</v>
      </c>
      <c r="Q41" s="80">
        <v>0.1</v>
      </c>
      <c r="R41" s="80">
        <v>0.12</v>
      </c>
      <c r="S41" s="80">
        <v>0.1</v>
      </c>
      <c r="T41" s="80">
        <v>0.25</v>
      </c>
      <c r="U41" s="176">
        <v>1880</v>
      </c>
      <c r="V41" s="177"/>
      <c r="W41" s="178">
        <v>124</v>
      </c>
      <c r="X41" s="118">
        <f>T44</f>
        <v>88.696808510638292</v>
      </c>
      <c r="Y41" s="118">
        <f>W41 - X41</f>
        <v>35.303191489361708</v>
      </c>
      <c r="Z41" s="118">
        <f>1000 / (U41 / 12)</f>
        <v>6.3829787234042561</v>
      </c>
      <c r="AA41" s="176" t="s">
        <v>87</v>
      </c>
      <c r="AB41" s="119">
        <f>_xlfn.IFS(AA41 = "Yes",Y41 - Z41,AA41 = "No",Y41)</f>
        <v>28.920212765957451</v>
      </c>
      <c r="AR41" s="55">
        <v>0.13</v>
      </c>
      <c r="AS41" s="80">
        <v>0.1</v>
      </c>
      <c r="AT41" s="80">
        <v>0.12</v>
      </c>
      <c r="AU41" s="80">
        <v>0.1</v>
      </c>
      <c r="AV41" s="80">
        <v>0.25</v>
      </c>
      <c r="AW41" s="176">
        <v>1880</v>
      </c>
      <c r="AX41" s="177"/>
      <c r="AY41" s="178">
        <v>117</v>
      </c>
      <c r="AZ41" s="179">
        <f>AV44</f>
        <v>88.696808510638292</v>
      </c>
      <c r="BA41" s="179">
        <f>AY41 - AZ41</f>
        <v>28.303191489361708</v>
      </c>
      <c r="BB41" s="179">
        <f>1000 / (AW41 / 12)</f>
        <v>6.3829787234042561</v>
      </c>
      <c r="BC41" s="176" t="s">
        <v>87</v>
      </c>
      <c r="BD41" s="119">
        <f>_xlfn.IFS(BC41 = "Yes",BA41 - BB41,BC41 = "No",BA41)</f>
        <v>21.920212765957451</v>
      </c>
      <c r="BF41" s="55">
        <v>0.13</v>
      </c>
      <c r="BG41" s="80">
        <v>0.1</v>
      </c>
      <c r="BH41" s="80">
        <v>0.12</v>
      </c>
      <c r="BI41" s="80">
        <v>0.1</v>
      </c>
      <c r="BJ41" s="80">
        <v>0.25</v>
      </c>
      <c r="BK41" s="176">
        <v>1880</v>
      </c>
      <c r="BL41" s="177"/>
      <c r="BM41" s="178">
        <v>115</v>
      </c>
      <c r="BN41" s="179">
        <f>BJ44</f>
        <v>88.696808510638292</v>
      </c>
      <c r="BO41" s="179">
        <f>BM41 - BN41</f>
        <v>26.303191489361708</v>
      </c>
      <c r="BP41" s="179">
        <f>1000 / (BK41 / 12)</f>
        <v>6.3829787234042561</v>
      </c>
      <c r="BQ41" s="176" t="s">
        <v>87</v>
      </c>
      <c r="BR41" s="119">
        <f>_xlfn.IFS(BQ41 = "Yes",BO41 - BP41,BQ41 = "No",BO41)</f>
        <v>19.920212765957451</v>
      </c>
    </row>
    <row r="42" spans="2:70" x14ac:dyDescent="0.3">
      <c r="B42" s="120"/>
      <c r="C42" s="121"/>
      <c r="D42" s="121"/>
      <c r="E42" s="121"/>
      <c r="F42" s="121"/>
      <c r="G42" s="121"/>
      <c r="I42" s="121"/>
      <c r="J42" s="121"/>
      <c r="K42" s="121"/>
      <c r="L42" s="121"/>
      <c r="M42" s="121"/>
      <c r="N42" s="122"/>
      <c r="O42" s="215"/>
      <c r="P42" s="120"/>
      <c r="Q42" s="177"/>
      <c r="R42" s="177"/>
      <c r="S42" s="177"/>
      <c r="T42" s="177"/>
      <c r="U42" s="177"/>
      <c r="W42" s="177"/>
      <c r="X42" s="177"/>
      <c r="Y42" s="177"/>
      <c r="Z42" s="177"/>
      <c r="AA42" s="177"/>
      <c r="AB42" s="122"/>
      <c r="AR42" s="120"/>
      <c r="AS42" s="177"/>
      <c r="AT42" s="177"/>
      <c r="AU42" s="177"/>
      <c r="AV42" s="177"/>
      <c r="AW42" s="177"/>
      <c r="AY42" s="177"/>
      <c r="AZ42" s="177"/>
      <c r="BA42" s="177"/>
      <c r="BB42" s="177"/>
      <c r="BC42" s="177"/>
      <c r="BD42" s="122"/>
      <c r="BF42" s="120"/>
      <c r="BG42" s="177"/>
      <c r="BH42" s="177"/>
      <c r="BI42" s="177"/>
      <c r="BJ42" s="177"/>
      <c r="BK42" s="177"/>
      <c r="BM42" s="177"/>
      <c r="BN42" s="177"/>
      <c r="BO42" s="177"/>
      <c r="BP42" s="177"/>
      <c r="BQ42" s="177"/>
      <c r="BR42" s="122"/>
    </row>
    <row r="43" spans="2:70" ht="57.6" x14ac:dyDescent="0.3">
      <c r="B43" s="123" t="s">
        <v>84</v>
      </c>
      <c r="C43" s="124" t="s">
        <v>11</v>
      </c>
      <c r="D43" s="124" t="s">
        <v>12</v>
      </c>
      <c r="E43" s="124" t="s">
        <v>13</v>
      </c>
      <c r="F43" s="124" t="s">
        <v>14</v>
      </c>
      <c r="G43" s="124" t="s">
        <v>15</v>
      </c>
      <c r="H43" s="124"/>
      <c r="I43" s="124" t="s">
        <v>26</v>
      </c>
      <c r="J43" s="124" t="s">
        <v>27</v>
      </c>
      <c r="K43" s="124" t="s">
        <v>28</v>
      </c>
      <c r="L43" s="125" t="s">
        <v>29</v>
      </c>
      <c r="M43" s="124" t="s">
        <v>30</v>
      </c>
      <c r="N43" s="126" t="s">
        <v>31</v>
      </c>
      <c r="O43" s="124"/>
      <c r="P43" s="123" t="s">
        <v>84</v>
      </c>
      <c r="Q43" s="124" t="s">
        <v>11</v>
      </c>
      <c r="R43" s="124" t="s">
        <v>12</v>
      </c>
      <c r="S43" s="124" t="s">
        <v>13</v>
      </c>
      <c r="T43" s="124" t="s">
        <v>14</v>
      </c>
      <c r="U43" s="124" t="s">
        <v>15</v>
      </c>
      <c r="V43" s="124"/>
      <c r="W43" s="124" t="s">
        <v>26</v>
      </c>
      <c r="X43" s="124" t="s">
        <v>27</v>
      </c>
      <c r="Y43" s="124" t="s">
        <v>28</v>
      </c>
      <c r="Z43" s="181" t="s">
        <v>29</v>
      </c>
      <c r="AA43" s="124" t="s">
        <v>30</v>
      </c>
      <c r="AB43" s="126" t="s">
        <v>31</v>
      </c>
      <c r="AR43" s="123" t="s">
        <v>84</v>
      </c>
      <c r="AS43" s="180" t="s">
        <v>11</v>
      </c>
      <c r="AT43" s="180" t="s">
        <v>12</v>
      </c>
      <c r="AU43" s="180" t="s">
        <v>13</v>
      </c>
      <c r="AV43" s="180" t="s">
        <v>14</v>
      </c>
      <c r="AW43" s="180" t="s">
        <v>15</v>
      </c>
      <c r="AX43" s="180"/>
      <c r="AY43" s="180" t="s">
        <v>26</v>
      </c>
      <c r="AZ43" s="180" t="s">
        <v>27</v>
      </c>
      <c r="BA43" s="180" t="s">
        <v>28</v>
      </c>
      <c r="BB43" s="181" t="s">
        <v>29</v>
      </c>
      <c r="BC43" s="180" t="s">
        <v>30</v>
      </c>
      <c r="BD43" s="126" t="s">
        <v>31</v>
      </c>
      <c r="BF43" s="123" t="s">
        <v>84</v>
      </c>
      <c r="BG43" s="180" t="s">
        <v>11</v>
      </c>
      <c r="BH43" s="180" t="s">
        <v>12</v>
      </c>
      <c r="BI43" s="180" t="s">
        <v>13</v>
      </c>
      <c r="BJ43" s="180" t="s">
        <v>14</v>
      </c>
      <c r="BK43" s="180" t="s">
        <v>15</v>
      </c>
      <c r="BL43" s="180"/>
      <c r="BM43" s="180" t="s">
        <v>26</v>
      </c>
      <c r="BN43" s="180" t="s">
        <v>27</v>
      </c>
      <c r="BO43" s="180" t="s">
        <v>28</v>
      </c>
      <c r="BP43" s="181" t="s">
        <v>29</v>
      </c>
      <c r="BQ43" s="180" t="s">
        <v>30</v>
      </c>
      <c r="BR43" s="126" t="s">
        <v>31</v>
      </c>
    </row>
    <row r="44" spans="2:70" x14ac:dyDescent="0.3">
      <c r="B44" s="52">
        <v>115000</v>
      </c>
      <c r="C44" s="45">
        <f>B44 / $G41</f>
        <v>61.170212765957444</v>
      </c>
      <c r="D44" s="45">
        <f>SUM($B41,$C41,$D41,$E41)</f>
        <v>0.44999999999999996</v>
      </c>
      <c r="E44" s="45">
        <f>(B44 * D44) / $G41</f>
        <v>27.526595744680847</v>
      </c>
      <c r="F44" s="45">
        <f>C44 + E44</f>
        <v>88.696808510638292</v>
      </c>
      <c r="G44" s="45">
        <f>F44 * (1+$F41)</f>
        <v>110.87101063829786</v>
      </c>
      <c r="H44" s="127"/>
      <c r="I44" s="45">
        <f>G41 * I41</f>
        <v>225600</v>
      </c>
      <c r="J44" s="45">
        <f>_xlfn.IFS(M41 = "Yes",G41 * (J41 + L41),M41 &lt;&gt; "Yes",G41 * (J41))</f>
        <v>178749.99999999997</v>
      </c>
      <c r="K44" s="45">
        <f>I44 - J44</f>
        <v>46850.000000000029</v>
      </c>
      <c r="L44" s="46">
        <f>K44 / I44</f>
        <v>0.20766843971631219</v>
      </c>
      <c r="M44" s="45">
        <f>I44 / 12</f>
        <v>18800</v>
      </c>
      <c r="N44" s="47">
        <f>K44 / 12</f>
        <v>3904.1666666666692</v>
      </c>
      <c r="O44" s="118"/>
      <c r="P44" s="52">
        <v>115000</v>
      </c>
      <c r="Q44" s="45">
        <f>P44 / $G41</f>
        <v>61.170212765957444</v>
      </c>
      <c r="R44" s="45">
        <f>SUM($B41,$C41,$D41,$E41)</f>
        <v>0.44999999999999996</v>
      </c>
      <c r="S44" s="45">
        <f>(P44 * R44) / $G41</f>
        <v>27.526595744680847</v>
      </c>
      <c r="T44" s="45">
        <f>Q44 + S44</f>
        <v>88.696808510638292</v>
      </c>
      <c r="U44" s="45">
        <f>T44 * (1+$F41)</f>
        <v>110.87101063829786</v>
      </c>
      <c r="V44" s="127"/>
      <c r="W44" s="45">
        <f>U41 * W41</f>
        <v>233120</v>
      </c>
      <c r="X44" s="45">
        <f>_xlfn.IFS(AA41 = "Yes",U41 * (X41 + Z41),AA41 &lt;&gt; "Yes",U41 * (X41))</f>
        <v>178749.99999999997</v>
      </c>
      <c r="Y44" s="45">
        <f>W44 - X44</f>
        <v>54370.000000000029</v>
      </c>
      <c r="Z44" s="46">
        <f>Y44 / W44</f>
        <v>0.23322752230610858</v>
      </c>
      <c r="AA44" s="45">
        <f>W44 / 12</f>
        <v>19426.666666666668</v>
      </c>
      <c r="AB44" s="47">
        <f>Y44 / 12</f>
        <v>4530.8333333333358</v>
      </c>
      <c r="AR44" s="52">
        <v>115000</v>
      </c>
      <c r="AS44" s="45">
        <f>AR44 / $G41</f>
        <v>61.170212765957444</v>
      </c>
      <c r="AT44" s="45">
        <f>SUM($B41,$C41,$D41,$E41)</f>
        <v>0.44999999999999996</v>
      </c>
      <c r="AU44" s="45">
        <f>(AR44 * AT44) / $G41</f>
        <v>27.526595744680847</v>
      </c>
      <c r="AV44" s="45">
        <f>AS44 + AU44</f>
        <v>88.696808510638292</v>
      </c>
      <c r="AW44" s="45">
        <f>AV44 * (1+$F41)</f>
        <v>110.87101063829786</v>
      </c>
      <c r="AX44" s="127"/>
      <c r="AY44" s="45">
        <f>AW41 * AY41</f>
        <v>219960</v>
      </c>
      <c r="AZ44" s="45">
        <f>_xlfn.IFS(BC41 = "Yes",AW41 * (AZ41 + BB41),BC41 &lt;&gt; "Yes",AW41 * (AZ41))</f>
        <v>178749.99999999997</v>
      </c>
      <c r="BA44" s="45">
        <f>AY44 - AZ44</f>
        <v>41210.000000000029</v>
      </c>
      <c r="BB44" s="46">
        <f>BA44 / AY44</f>
        <v>0.18735224586288429</v>
      </c>
      <c r="BC44" s="45">
        <f>AY44 / 12</f>
        <v>18330</v>
      </c>
      <c r="BD44" s="47">
        <f>BA44 / 12</f>
        <v>3434.1666666666692</v>
      </c>
      <c r="BF44" s="52">
        <v>115000</v>
      </c>
      <c r="BG44" s="45">
        <f>BF44 / $G41</f>
        <v>61.170212765957444</v>
      </c>
      <c r="BH44" s="45">
        <f>SUM($B41,$C41,$D41,$E41)</f>
        <v>0.44999999999999996</v>
      </c>
      <c r="BI44" s="45">
        <f>(BF44 * BH44) / $G41</f>
        <v>27.526595744680847</v>
      </c>
      <c r="BJ44" s="45">
        <f>BG44 + BI44</f>
        <v>88.696808510638292</v>
      </c>
      <c r="BK44" s="45">
        <f>BJ44 * (1+$F41)</f>
        <v>110.87101063829786</v>
      </c>
      <c r="BL44" s="127"/>
      <c r="BM44" s="45">
        <f>BK41 * BM41</f>
        <v>216200</v>
      </c>
      <c r="BN44" s="45">
        <f>_xlfn.IFS(BQ41 = "Yes",BK41 * (BN41 + BP41),BQ41 &lt;&gt; "Yes",BK41 * (BN41))</f>
        <v>178749.99999999997</v>
      </c>
      <c r="BO44" s="45">
        <f>BM44 - BN44</f>
        <v>37450.000000000029</v>
      </c>
      <c r="BP44" s="46">
        <f>BO44 / BM44</f>
        <v>0.17321924144310838</v>
      </c>
      <c r="BQ44" s="45">
        <f>BM44 / 12</f>
        <v>18016.666666666668</v>
      </c>
      <c r="BR44" s="47">
        <f>BO44 / 12</f>
        <v>3120.8333333333358</v>
      </c>
    </row>
    <row r="46" spans="2:70" ht="21" x14ac:dyDescent="0.4">
      <c r="B46" s="49" t="s">
        <v>224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1"/>
      <c r="O46" s="214"/>
      <c r="P46" s="49" t="s">
        <v>224</v>
      </c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E46" s="49" t="s">
        <v>224</v>
      </c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1"/>
      <c r="AR46" s="49" t="s">
        <v>224</v>
      </c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1"/>
      <c r="BF46" s="49" t="s">
        <v>224</v>
      </c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1"/>
    </row>
    <row r="47" spans="2:70" ht="72" x14ac:dyDescent="0.3">
      <c r="B47" s="33" t="s">
        <v>1</v>
      </c>
      <c r="C47" s="34" t="s">
        <v>3</v>
      </c>
      <c r="D47" s="34" t="s">
        <v>2</v>
      </c>
      <c r="E47" s="34" t="s">
        <v>4</v>
      </c>
      <c r="F47" s="34" t="s">
        <v>6</v>
      </c>
      <c r="G47" s="34" t="s">
        <v>5</v>
      </c>
      <c r="H47" s="34"/>
      <c r="I47" s="34" t="s">
        <v>19</v>
      </c>
      <c r="J47" s="34" t="s">
        <v>20</v>
      </c>
      <c r="K47" s="34" t="s">
        <v>21</v>
      </c>
      <c r="L47" s="35" t="s">
        <v>22</v>
      </c>
      <c r="M47" s="34" t="s">
        <v>23</v>
      </c>
      <c r="N47" s="36" t="s">
        <v>24</v>
      </c>
      <c r="O47" s="34"/>
      <c r="P47" s="33" t="s">
        <v>1</v>
      </c>
      <c r="Q47" s="34" t="s">
        <v>3</v>
      </c>
      <c r="R47" s="34" t="s">
        <v>2</v>
      </c>
      <c r="S47" s="34" t="s">
        <v>4</v>
      </c>
      <c r="T47" s="34" t="s">
        <v>6</v>
      </c>
      <c r="U47" s="34" t="s">
        <v>5</v>
      </c>
      <c r="V47" s="34"/>
      <c r="W47" s="34" t="s">
        <v>19</v>
      </c>
      <c r="X47" s="34" t="s">
        <v>20</v>
      </c>
      <c r="Y47" s="34" t="s">
        <v>21</v>
      </c>
      <c r="Z47" s="78" t="s">
        <v>22</v>
      </c>
      <c r="AA47" s="34" t="s">
        <v>23</v>
      </c>
      <c r="AB47" s="36" t="s">
        <v>24</v>
      </c>
      <c r="AE47" s="185" t="s">
        <v>1</v>
      </c>
      <c r="AF47" s="185" t="s">
        <v>3</v>
      </c>
      <c r="AG47" s="185" t="s">
        <v>2</v>
      </c>
      <c r="AH47" s="185" t="s">
        <v>4</v>
      </c>
      <c r="AI47" s="185" t="s">
        <v>6</v>
      </c>
      <c r="AJ47" s="185" t="s">
        <v>5</v>
      </c>
      <c r="AL47" s="185" t="s">
        <v>19</v>
      </c>
      <c r="AM47" s="185" t="s">
        <v>20</v>
      </c>
      <c r="AN47" s="185" t="s">
        <v>21</v>
      </c>
      <c r="AO47" s="185" t="s">
        <v>22</v>
      </c>
      <c r="AP47" s="185" t="s">
        <v>23</v>
      </c>
      <c r="AQ47" s="185" t="s">
        <v>24</v>
      </c>
      <c r="AR47" s="33" t="s">
        <v>1</v>
      </c>
      <c r="AS47" s="77" t="s">
        <v>3</v>
      </c>
      <c r="AT47" s="77" t="s">
        <v>2</v>
      </c>
      <c r="AU47" s="77" t="s">
        <v>4</v>
      </c>
      <c r="AV47" s="77" t="s">
        <v>6</v>
      </c>
      <c r="AW47" s="77" t="s">
        <v>5</v>
      </c>
      <c r="AX47" s="77"/>
      <c r="AY47" s="77" t="s">
        <v>19</v>
      </c>
      <c r="AZ47" s="77" t="s">
        <v>20</v>
      </c>
      <c r="BA47" s="77" t="s">
        <v>21</v>
      </c>
      <c r="BB47" s="78" t="s">
        <v>22</v>
      </c>
      <c r="BC47" s="77" t="s">
        <v>23</v>
      </c>
      <c r="BD47" s="36" t="s">
        <v>24</v>
      </c>
      <c r="BF47" s="33" t="s">
        <v>1</v>
      </c>
      <c r="BG47" s="77" t="s">
        <v>3</v>
      </c>
      <c r="BH47" s="77" t="s">
        <v>2</v>
      </c>
      <c r="BI47" s="77" t="s">
        <v>4</v>
      </c>
      <c r="BJ47" s="77" t="s">
        <v>6</v>
      </c>
      <c r="BK47" s="77" t="s">
        <v>5</v>
      </c>
      <c r="BL47" s="77"/>
      <c r="BM47" s="77" t="s">
        <v>19</v>
      </c>
      <c r="BN47" s="77" t="s">
        <v>20</v>
      </c>
      <c r="BO47" s="77" t="s">
        <v>21</v>
      </c>
      <c r="BP47" s="78" t="s">
        <v>22</v>
      </c>
      <c r="BQ47" s="77" t="s">
        <v>23</v>
      </c>
      <c r="BR47" s="36" t="s">
        <v>24</v>
      </c>
    </row>
    <row r="48" spans="2:70" x14ac:dyDescent="0.3">
      <c r="B48" s="55">
        <v>0.13</v>
      </c>
      <c r="C48" s="53">
        <v>0.1</v>
      </c>
      <c r="D48" s="53">
        <v>0.12</v>
      </c>
      <c r="E48" s="53">
        <v>0.1</v>
      </c>
      <c r="F48" s="53">
        <v>0.25</v>
      </c>
      <c r="G48" s="183">
        <v>1880</v>
      </c>
      <c r="H48" s="121"/>
      <c r="I48" s="146">
        <v>120</v>
      </c>
      <c r="J48" s="118">
        <f>F51</f>
        <v>84.840425531914889</v>
      </c>
      <c r="K48" s="118">
        <f>I48 - J48</f>
        <v>35.159574468085111</v>
      </c>
      <c r="L48" s="118">
        <f>1000 / (G48 / 12)</f>
        <v>6.3829787234042561</v>
      </c>
      <c r="M48" s="115" t="s">
        <v>87</v>
      </c>
      <c r="N48" s="119">
        <f>_xlfn.IFS(M48 = "Yes",K48 - L48,M48 = "No",K48)</f>
        <v>28.776595744680854</v>
      </c>
      <c r="O48" s="118"/>
      <c r="P48" s="55">
        <v>0.13</v>
      </c>
      <c r="Q48" s="80">
        <v>0.1</v>
      </c>
      <c r="R48" s="80">
        <v>0.12</v>
      </c>
      <c r="S48" s="80">
        <v>0.1</v>
      </c>
      <c r="T48" s="80">
        <v>0.25</v>
      </c>
      <c r="U48" s="184">
        <v>1880</v>
      </c>
      <c r="V48" s="177"/>
      <c r="W48" s="178">
        <v>124</v>
      </c>
      <c r="X48" s="118">
        <f>T51</f>
        <v>84.840425531914889</v>
      </c>
      <c r="Y48" s="118">
        <f>W48 - X48</f>
        <v>39.159574468085111</v>
      </c>
      <c r="Z48" s="118">
        <f>1000 / (U48 / 12)</f>
        <v>6.3829787234042561</v>
      </c>
      <c r="AA48" s="176" t="s">
        <v>87</v>
      </c>
      <c r="AB48" s="119">
        <f>_xlfn.IFS(AA48 = "Yes",Y48 - Z48,AA48 = "No",Y48)</f>
        <v>32.776595744680854</v>
      </c>
      <c r="AE48" s="186">
        <v>0.13</v>
      </c>
      <c r="AF48" s="186">
        <v>0.1</v>
      </c>
      <c r="AG48" s="186">
        <v>0.12</v>
      </c>
      <c r="AH48" s="186">
        <v>0.1</v>
      </c>
      <c r="AI48" s="186">
        <v>0.25</v>
      </c>
      <c r="AJ48" s="187">
        <v>1880</v>
      </c>
      <c r="AL48" s="188">
        <v>120</v>
      </c>
      <c r="AM48" s="20">
        <f>AI51</f>
        <v>96.409574468085097</v>
      </c>
      <c r="AN48" s="20">
        <f>AL48 - AM48</f>
        <v>23.590425531914903</v>
      </c>
      <c r="AO48" s="20">
        <f>1000 / (AJ48 / 12)</f>
        <v>6.3829787234042561</v>
      </c>
      <c r="AP48" s="189" t="s">
        <v>105</v>
      </c>
      <c r="AQ48" s="20" cm="1">
        <f t="array" ref="AQ48">_xlfn.IFS(AP48 = "Yes",AN48 - AO48,AP48 = "No",AN48)</f>
        <v>23.590425531914903</v>
      </c>
      <c r="AR48" s="55">
        <v>0.13</v>
      </c>
      <c r="AS48" s="80">
        <v>0.1</v>
      </c>
      <c r="AT48" s="80">
        <v>0.12</v>
      </c>
      <c r="AU48" s="80">
        <v>0.1</v>
      </c>
      <c r="AV48" s="80">
        <v>0.25</v>
      </c>
      <c r="AW48" s="184">
        <v>1880</v>
      </c>
      <c r="AX48" s="177"/>
      <c r="AY48" s="178">
        <v>125</v>
      </c>
      <c r="AZ48" s="179">
        <f>AV51</f>
        <v>84.840425531914889</v>
      </c>
      <c r="BA48" s="179">
        <f>AY48 - AZ48</f>
        <v>40.159574468085111</v>
      </c>
      <c r="BB48" s="179">
        <f>1000 / (AW48 / 12)</f>
        <v>6.3829787234042561</v>
      </c>
      <c r="BC48" s="176" t="s">
        <v>87</v>
      </c>
      <c r="BD48" s="119">
        <f>_xlfn.IFS(BC48 = "Yes",BA48 - BB48,BC48 = "No",BA48)</f>
        <v>33.776595744680854</v>
      </c>
      <c r="BF48" s="55">
        <v>0.13</v>
      </c>
      <c r="BG48" s="80">
        <v>0.1</v>
      </c>
      <c r="BH48" s="80">
        <v>0.12</v>
      </c>
      <c r="BI48" s="80">
        <v>0.1</v>
      </c>
      <c r="BJ48" s="80">
        <v>0.25</v>
      </c>
      <c r="BK48" s="184">
        <v>1880</v>
      </c>
      <c r="BL48" s="177"/>
      <c r="BM48" s="178">
        <v>121</v>
      </c>
      <c r="BN48" s="179">
        <f>BJ51</f>
        <v>84.840425531914889</v>
      </c>
      <c r="BO48" s="179">
        <f>BM48 - BN48</f>
        <v>36.159574468085111</v>
      </c>
      <c r="BP48" s="179">
        <f>1000 / (BK48 / 12)</f>
        <v>6.3829787234042561</v>
      </c>
      <c r="BQ48" s="176" t="s">
        <v>87</v>
      </c>
      <c r="BR48" s="119">
        <f>_xlfn.IFS(BQ48 = "Yes",BO48 - BP48,BQ48 = "No",BO48)</f>
        <v>29.776595744680854</v>
      </c>
    </row>
    <row r="49" spans="2:70" x14ac:dyDescent="0.3">
      <c r="B49" s="120"/>
      <c r="C49" s="121"/>
      <c r="D49" s="121"/>
      <c r="E49" s="121"/>
      <c r="F49" s="121"/>
      <c r="G49" s="121"/>
      <c r="I49" s="121"/>
      <c r="J49" s="121"/>
      <c r="K49" s="121"/>
      <c r="L49" s="121"/>
      <c r="M49" s="121"/>
      <c r="N49" s="122"/>
      <c r="O49" s="215"/>
      <c r="P49" s="120"/>
      <c r="Q49" s="177"/>
      <c r="R49" s="177"/>
      <c r="S49" s="177"/>
      <c r="T49" s="177"/>
      <c r="U49" s="177"/>
      <c r="W49" s="177"/>
      <c r="X49" s="177"/>
      <c r="Y49" s="177"/>
      <c r="Z49" s="177"/>
      <c r="AA49" s="177"/>
      <c r="AB49" s="122"/>
      <c r="AR49" s="120"/>
      <c r="AS49" s="177"/>
      <c r="AT49" s="177"/>
      <c r="AU49" s="177"/>
      <c r="AV49" s="177"/>
      <c r="AW49" s="177"/>
      <c r="AY49" s="177"/>
      <c r="AZ49" s="177"/>
      <c r="BA49" s="177"/>
      <c r="BB49" s="177"/>
      <c r="BC49" s="177"/>
      <c r="BD49" s="122"/>
      <c r="BF49" s="120"/>
      <c r="BG49" s="177"/>
      <c r="BH49" s="177"/>
      <c r="BI49" s="177"/>
      <c r="BJ49" s="177"/>
      <c r="BK49" s="177"/>
      <c r="BM49" s="177"/>
      <c r="BN49" s="177"/>
      <c r="BO49" s="177"/>
      <c r="BP49" s="177"/>
      <c r="BQ49" s="177"/>
      <c r="BR49" s="122"/>
    </row>
    <row r="50" spans="2:70" ht="57.6" x14ac:dyDescent="0.3">
      <c r="B50" s="123" t="s">
        <v>84</v>
      </c>
      <c r="C50" s="124" t="s">
        <v>11</v>
      </c>
      <c r="D50" s="124" t="s">
        <v>12</v>
      </c>
      <c r="E50" s="124" t="s">
        <v>13</v>
      </c>
      <c r="F50" s="124" t="s">
        <v>14</v>
      </c>
      <c r="G50" s="124" t="s">
        <v>15</v>
      </c>
      <c r="H50" s="124"/>
      <c r="I50" s="124" t="s">
        <v>26</v>
      </c>
      <c r="J50" s="124" t="s">
        <v>27</v>
      </c>
      <c r="K50" s="124" t="s">
        <v>28</v>
      </c>
      <c r="L50" s="125" t="s">
        <v>29</v>
      </c>
      <c r="M50" s="124" t="s">
        <v>30</v>
      </c>
      <c r="N50" s="126" t="s">
        <v>31</v>
      </c>
      <c r="O50" s="124"/>
      <c r="P50" s="123" t="s">
        <v>84</v>
      </c>
      <c r="Q50" s="124" t="s">
        <v>11</v>
      </c>
      <c r="R50" s="124" t="s">
        <v>12</v>
      </c>
      <c r="S50" s="124" t="s">
        <v>13</v>
      </c>
      <c r="T50" s="124" t="s">
        <v>14</v>
      </c>
      <c r="U50" s="124" t="s">
        <v>15</v>
      </c>
      <c r="V50" s="124"/>
      <c r="W50" s="124" t="s">
        <v>26</v>
      </c>
      <c r="X50" s="124" t="s">
        <v>27</v>
      </c>
      <c r="Y50" s="124" t="s">
        <v>28</v>
      </c>
      <c r="Z50" s="181" t="s">
        <v>29</v>
      </c>
      <c r="AA50" s="124" t="s">
        <v>30</v>
      </c>
      <c r="AB50" s="126" t="s">
        <v>31</v>
      </c>
      <c r="AC50">
        <f>2325.41</f>
        <v>2325.41</v>
      </c>
      <c r="AE50" s="185" t="s">
        <v>10</v>
      </c>
      <c r="AF50" s="185" t="s">
        <v>11</v>
      </c>
      <c r="AG50" s="185" t="s">
        <v>12</v>
      </c>
      <c r="AH50" s="185" t="s">
        <v>13</v>
      </c>
      <c r="AI50" s="185" t="s">
        <v>14</v>
      </c>
      <c r="AJ50" s="185" t="s">
        <v>15</v>
      </c>
      <c r="AK50" s="6"/>
      <c r="AL50" s="185" t="s">
        <v>26</v>
      </c>
      <c r="AM50" s="185" t="s">
        <v>27</v>
      </c>
      <c r="AN50" s="185" t="s">
        <v>28</v>
      </c>
      <c r="AO50" s="190" t="s">
        <v>29</v>
      </c>
      <c r="AP50" s="185" t="s">
        <v>30</v>
      </c>
      <c r="AQ50" s="185" t="s">
        <v>31</v>
      </c>
      <c r="AR50" s="123" t="s">
        <v>84</v>
      </c>
      <c r="AS50" s="180" t="s">
        <v>11</v>
      </c>
      <c r="AT50" s="180" t="s">
        <v>12</v>
      </c>
      <c r="AU50" s="180" t="s">
        <v>13</v>
      </c>
      <c r="AV50" s="180" t="s">
        <v>14</v>
      </c>
      <c r="AW50" s="180" t="s">
        <v>15</v>
      </c>
      <c r="AX50" s="180"/>
      <c r="AY50" s="180" t="s">
        <v>26</v>
      </c>
      <c r="AZ50" s="180" t="s">
        <v>27</v>
      </c>
      <c r="BA50" s="180" t="s">
        <v>28</v>
      </c>
      <c r="BB50" s="181" t="s">
        <v>29</v>
      </c>
      <c r="BC50" s="180" t="s">
        <v>30</v>
      </c>
      <c r="BD50" s="126" t="s">
        <v>31</v>
      </c>
      <c r="BF50" s="123" t="s">
        <v>84</v>
      </c>
      <c r="BG50" s="180" t="s">
        <v>11</v>
      </c>
      <c r="BH50" s="180" t="s">
        <v>12</v>
      </c>
      <c r="BI50" s="180" t="s">
        <v>13</v>
      </c>
      <c r="BJ50" s="180" t="s">
        <v>14</v>
      </c>
      <c r="BK50" s="180" t="s">
        <v>15</v>
      </c>
      <c r="BL50" s="180"/>
      <c r="BM50" s="180" t="s">
        <v>26</v>
      </c>
      <c r="BN50" s="180" t="s">
        <v>27</v>
      </c>
      <c r="BO50" s="180" t="s">
        <v>28</v>
      </c>
      <c r="BP50" s="181" t="s">
        <v>29</v>
      </c>
      <c r="BQ50" s="180" t="s">
        <v>30</v>
      </c>
      <c r="BR50" s="126" t="s">
        <v>31</v>
      </c>
    </row>
    <row r="51" spans="2:70" x14ac:dyDescent="0.3">
      <c r="B51" s="52">
        <v>110000</v>
      </c>
      <c r="C51" s="45">
        <f>B51 / $G48</f>
        <v>58.51063829787234</v>
      </c>
      <c r="D51" s="43">
        <f>SUM($B48,$C48,$D48,$E48)</f>
        <v>0.44999999999999996</v>
      </c>
      <c r="E51" s="45">
        <f>(B51 * D51) / $G48</f>
        <v>26.329787234042549</v>
      </c>
      <c r="F51" s="45">
        <f>C51 + E51</f>
        <v>84.840425531914889</v>
      </c>
      <c r="G51" s="45">
        <f>F51 * (1+$F48)</f>
        <v>106.05053191489361</v>
      </c>
      <c r="H51" s="127"/>
      <c r="I51" s="45">
        <f>G48 * I48</f>
        <v>225600</v>
      </c>
      <c r="J51" s="45">
        <f>_xlfn.IFS(M48 = "Yes",G48 * (J48 + L48),M48 &lt;&gt; "Yes",G48 * (J48))</f>
        <v>171499.99999999997</v>
      </c>
      <c r="K51" s="45">
        <f>I51 - J51</f>
        <v>54100.000000000029</v>
      </c>
      <c r="L51" s="46">
        <f>K51 / I51</f>
        <v>0.23980496453900721</v>
      </c>
      <c r="M51" s="45">
        <f>I51 / 12</f>
        <v>18800</v>
      </c>
      <c r="N51" s="47">
        <f>K51 / 12</f>
        <v>4508.3333333333358</v>
      </c>
      <c r="O51" s="118"/>
      <c r="P51" s="52">
        <v>110000</v>
      </c>
      <c r="Q51" s="45">
        <f>P51 / $G48</f>
        <v>58.51063829787234</v>
      </c>
      <c r="R51" s="43">
        <f>SUM($B48,$C48,$D48,$E48)</f>
        <v>0.44999999999999996</v>
      </c>
      <c r="S51" s="45">
        <f>(P51 * R51) / $G48</f>
        <v>26.329787234042549</v>
      </c>
      <c r="T51" s="45">
        <f>Q51 + S51</f>
        <v>84.840425531914889</v>
      </c>
      <c r="U51" s="45">
        <f>T51 * (1+$F48)</f>
        <v>106.05053191489361</v>
      </c>
      <c r="V51" s="127"/>
      <c r="W51" s="45">
        <f>U48 * W48</f>
        <v>233120</v>
      </c>
      <c r="X51" s="45">
        <f>_xlfn.IFS(AA48 = "Yes",U48 * (X48 + Z48),AA48 &lt;&gt; "Yes",U48 * (X48))</f>
        <v>171499.99999999997</v>
      </c>
      <c r="Y51" s="45">
        <f>W51 - X51</f>
        <v>61620.000000000029</v>
      </c>
      <c r="Z51" s="46">
        <f>Y51 / W51</f>
        <v>0.26432738503774894</v>
      </c>
      <c r="AA51" s="45">
        <f>W51 / 12</f>
        <v>19426.666666666668</v>
      </c>
      <c r="AB51" s="47">
        <f>Y51 / 12</f>
        <v>5135.0000000000027</v>
      </c>
      <c r="AC51">
        <f>AC50*12</f>
        <v>27904.92</v>
      </c>
      <c r="AE51" s="191">
        <v>125000</v>
      </c>
      <c r="AF51" s="20">
        <f>AE51 / $G48</f>
        <v>66.489361702127653</v>
      </c>
      <c r="AG51" s="3">
        <f>SUM($B48,$C48,$D48,$E48)</f>
        <v>0.44999999999999996</v>
      </c>
      <c r="AH51" s="20">
        <f>(AE51 * AG51) / $G48</f>
        <v>29.920212765957444</v>
      </c>
      <c r="AI51" s="20">
        <f>AF51 + AH51</f>
        <v>96.409574468085097</v>
      </c>
      <c r="AJ51" s="24">
        <f>AI51 * (1+$F48)</f>
        <v>120.51196808510637</v>
      </c>
      <c r="AK51" s="25"/>
      <c r="AL51" s="16">
        <f>AJ48 * AL48</f>
        <v>225600</v>
      </c>
      <c r="AM51" s="16" cm="1">
        <f t="array" ref="AM51">_xlfn.IFS(AP48 = "Yes",AJ48 * (AM48 + AO48),AP48 &lt;&gt; "Yes",AJ48 * (AM48))</f>
        <v>181249.99999999997</v>
      </c>
      <c r="AN51" s="16">
        <f>AL51 - AM51</f>
        <v>44350.000000000029</v>
      </c>
      <c r="AO51" s="192">
        <f>AN51 / AM51</f>
        <v>0.24468965517241401</v>
      </c>
      <c r="AP51" s="16">
        <f>AL51 / 12</f>
        <v>18800</v>
      </c>
      <c r="AQ51" s="16">
        <f>AN51 / 12</f>
        <v>3695.8333333333358</v>
      </c>
      <c r="AR51" s="52">
        <v>110000</v>
      </c>
      <c r="AS51" s="45">
        <f>AR51 / $G48</f>
        <v>58.51063829787234</v>
      </c>
      <c r="AT51" s="43">
        <f>SUM($B48,$C48,$D48,$E48)</f>
        <v>0.44999999999999996</v>
      </c>
      <c r="AU51" s="45">
        <f>(AR51 * AT51) / $G48</f>
        <v>26.329787234042549</v>
      </c>
      <c r="AV51" s="45">
        <f>AS51 + AU51</f>
        <v>84.840425531914889</v>
      </c>
      <c r="AW51" s="45">
        <f>AV51 * (1+$F48)</f>
        <v>106.05053191489361</v>
      </c>
      <c r="AX51" s="127"/>
      <c r="AY51" s="45">
        <f>AW48 * AY48</f>
        <v>235000</v>
      </c>
      <c r="AZ51" s="45">
        <f>_xlfn.IFS(BC48 = "Yes",AW48 * (AZ48 + BB48),BC48 &lt;&gt; "Yes",AW48 * (AZ48))</f>
        <v>171499.99999999997</v>
      </c>
      <c r="BA51" s="45">
        <f>AY51 - AZ51</f>
        <v>63500.000000000029</v>
      </c>
      <c r="BB51" s="46">
        <f>BA51 / AY51</f>
        <v>0.27021276595744692</v>
      </c>
      <c r="BC51" s="45">
        <f>AY51 / 12</f>
        <v>19583.333333333332</v>
      </c>
      <c r="BD51" s="47">
        <f>BA51 / 12</f>
        <v>5291.6666666666688</v>
      </c>
      <c r="BF51" s="52">
        <v>110000</v>
      </c>
      <c r="BG51" s="45">
        <f>BF51 / $G48</f>
        <v>58.51063829787234</v>
      </c>
      <c r="BH51" s="43">
        <f>SUM($B48,$C48,$D48,$E48)</f>
        <v>0.44999999999999996</v>
      </c>
      <c r="BI51" s="45">
        <f>(BF51 * BH51) / $G48</f>
        <v>26.329787234042549</v>
      </c>
      <c r="BJ51" s="45">
        <f>BG51 + BI51</f>
        <v>84.840425531914889</v>
      </c>
      <c r="BK51" s="45">
        <f>BJ51 * (1+$F48)</f>
        <v>106.05053191489361</v>
      </c>
      <c r="BL51" s="127"/>
      <c r="BM51" s="45">
        <f>BK48 * BM48</f>
        <v>227480</v>
      </c>
      <c r="BN51" s="45">
        <f>_xlfn.IFS(BQ48 = "Yes",BK48 * (BN48 + BP48),BQ48 &lt;&gt; "Yes",BK48 * (BN48))</f>
        <v>171499.99999999997</v>
      </c>
      <c r="BO51" s="45">
        <f>BM51 - BN51</f>
        <v>55980.000000000029</v>
      </c>
      <c r="BP51" s="46">
        <f>BO51 / BM51</f>
        <v>0.2460875681378584</v>
      </c>
      <c r="BQ51" s="45">
        <f>BM51 / 12</f>
        <v>18956.666666666668</v>
      </c>
      <c r="BR51" s="47">
        <f>BO51 / 12</f>
        <v>4665.0000000000027</v>
      </c>
    </row>
    <row r="52" spans="2:70" x14ac:dyDescent="0.3">
      <c r="AC52">
        <f>6890.11*12</f>
        <v>82681.319999999992</v>
      </c>
    </row>
    <row r="53" spans="2:70" ht="21" x14ac:dyDescent="0.4">
      <c r="B53" s="49" t="s">
        <v>225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1"/>
      <c r="O53" s="214"/>
      <c r="P53" s="49" t="s">
        <v>225</v>
      </c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R53" s="49" t="s">
        <v>225</v>
      </c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1"/>
      <c r="BF53" s="49" t="s">
        <v>225</v>
      </c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1"/>
    </row>
    <row r="54" spans="2:70" ht="72" x14ac:dyDescent="0.3">
      <c r="B54" s="33" t="s">
        <v>1</v>
      </c>
      <c r="C54" s="34" t="s">
        <v>3</v>
      </c>
      <c r="D54" s="34" t="s">
        <v>2</v>
      </c>
      <c r="E54" s="34" t="s">
        <v>4</v>
      </c>
      <c r="F54" s="34" t="s">
        <v>6</v>
      </c>
      <c r="G54" s="34" t="s">
        <v>5</v>
      </c>
      <c r="H54" s="34"/>
      <c r="I54" s="34" t="s">
        <v>19</v>
      </c>
      <c r="J54" s="34" t="s">
        <v>20</v>
      </c>
      <c r="K54" s="34" t="s">
        <v>21</v>
      </c>
      <c r="L54" s="35" t="s">
        <v>22</v>
      </c>
      <c r="M54" s="34" t="s">
        <v>23</v>
      </c>
      <c r="N54" s="36" t="s">
        <v>24</v>
      </c>
      <c r="O54" s="34"/>
      <c r="P54" s="33" t="s">
        <v>1</v>
      </c>
      <c r="Q54" s="34" t="s">
        <v>3</v>
      </c>
      <c r="R54" s="34" t="s">
        <v>2</v>
      </c>
      <c r="S54" s="34" t="s">
        <v>4</v>
      </c>
      <c r="T54" s="34" t="s">
        <v>6</v>
      </c>
      <c r="U54" s="34" t="s">
        <v>5</v>
      </c>
      <c r="V54" s="34"/>
      <c r="W54" s="34" t="s">
        <v>19</v>
      </c>
      <c r="X54" s="34" t="s">
        <v>20</v>
      </c>
      <c r="Y54" s="34" t="s">
        <v>21</v>
      </c>
      <c r="Z54" s="78" t="s">
        <v>22</v>
      </c>
      <c r="AA54" s="34" t="s">
        <v>23</v>
      </c>
      <c r="AB54" s="36" t="s">
        <v>24</v>
      </c>
      <c r="AE54" s="185" t="s">
        <v>1</v>
      </c>
      <c r="AF54" s="185" t="s">
        <v>3</v>
      </c>
      <c r="AG54" s="185" t="s">
        <v>2</v>
      </c>
      <c r="AH54" s="185" t="s">
        <v>4</v>
      </c>
      <c r="AI54" s="185" t="s">
        <v>6</v>
      </c>
      <c r="AJ54" s="185" t="s">
        <v>5</v>
      </c>
      <c r="AL54" s="185" t="s">
        <v>19</v>
      </c>
      <c r="AM54" s="185" t="s">
        <v>20</v>
      </c>
      <c r="AN54" s="185" t="s">
        <v>21</v>
      </c>
      <c r="AO54" s="185" t="s">
        <v>22</v>
      </c>
      <c r="AP54" s="185" t="s">
        <v>23</v>
      </c>
      <c r="AQ54" s="185" t="s">
        <v>24</v>
      </c>
      <c r="AR54" s="33" t="s">
        <v>1</v>
      </c>
      <c r="AS54" s="77" t="s">
        <v>3</v>
      </c>
      <c r="AT54" s="77" t="s">
        <v>2</v>
      </c>
      <c r="AU54" s="77" t="s">
        <v>4</v>
      </c>
      <c r="AV54" s="77" t="s">
        <v>6</v>
      </c>
      <c r="AW54" s="77" t="s">
        <v>5</v>
      </c>
      <c r="AX54" s="77"/>
      <c r="AY54" s="77" t="s">
        <v>19</v>
      </c>
      <c r="AZ54" s="77" t="s">
        <v>20</v>
      </c>
      <c r="BA54" s="77" t="s">
        <v>21</v>
      </c>
      <c r="BB54" s="78" t="s">
        <v>22</v>
      </c>
      <c r="BC54" s="77" t="s">
        <v>23</v>
      </c>
      <c r="BD54" s="36" t="s">
        <v>24</v>
      </c>
      <c r="BF54" s="33" t="s">
        <v>1</v>
      </c>
      <c r="BG54" s="77" t="s">
        <v>3</v>
      </c>
      <c r="BH54" s="77" t="s">
        <v>2</v>
      </c>
      <c r="BI54" s="77" t="s">
        <v>4</v>
      </c>
      <c r="BJ54" s="77" t="s">
        <v>6</v>
      </c>
      <c r="BK54" s="77" t="s">
        <v>5</v>
      </c>
      <c r="BL54" s="77"/>
      <c r="BM54" s="77" t="s">
        <v>19</v>
      </c>
      <c r="BN54" s="77" t="s">
        <v>20</v>
      </c>
      <c r="BO54" s="77" t="s">
        <v>21</v>
      </c>
      <c r="BP54" s="78" t="s">
        <v>22</v>
      </c>
      <c r="BQ54" s="77" t="s">
        <v>23</v>
      </c>
      <c r="BR54" s="36" t="s">
        <v>24</v>
      </c>
    </row>
    <row r="55" spans="2:70" x14ac:dyDescent="0.3">
      <c r="B55" s="55">
        <v>0.13</v>
      </c>
      <c r="C55" s="53">
        <v>0.1</v>
      </c>
      <c r="D55" s="53">
        <v>0.12</v>
      </c>
      <c r="E55" s="53">
        <v>0.1</v>
      </c>
      <c r="F55" s="53">
        <v>0.25</v>
      </c>
      <c r="G55" s="115">
        <v>1880</v>
      </c>
      <c r="H55" s="121"/>
      <c r="I55" s="146">
        <v>160</v>
      </c>
      <c r="J55" s="118">
        <f>F58</f>
        <v>127.26063829787233</v>
      </c>
      <c r="K55" s="118">
        <f>I55 - J55</f>
        <v>32.739361702127667</v>
      </c>
      <c r="L55" s="118">
        <f>1000 / (G55 / 12)</f>
        <v>6.3829787234042561</v>
      </c>
      <c r="M55" s="115" t="s">
        <v>105</v>
      </c>
      <c r="N55" s="119">
        <f>_xlfn.IFS(M55 = "Yes",K55 - L55,M55 = "No",K55)</f>
        <v>32.739361702127667</v>
      </c>
      <c r="O55" s="118"/>
      <c r="P55" s="55">
        <v>0.13</v>
      </c>
      <c r="Q55" s="80">
        <v>0.1</v>
      </c>
      <c r="R55" s="80">
        <v>0.12</v>
      </c>
      <c r="S55" s="80">
        <v>0.1</v>
      </c>
      <c r="T55" s="80">
        <v>0.25</v>
      </c>
      <c r="U55" s="176">
        <v>1880</v>
      </c>
      <c r="V55" s="177"/>
      <c r="W55" s="178">
        <v>165</v>
      </c>
      <c r="X55" s="118">
        <f>T58</f>
        <v>127.26063829787233</v>
      </c>
      <c r="Y55" s="118">
        <f>W55 - X55</f>
        <v>37.739361702127667</v>
      </c>
      <c r="Z55" s="118">
        <f>1000 / (U55 / 12)</f>
        <v>6.3829787234042561</v>
      </c>
      <c r="AA55" s="176" t="s">
        <v>105</v>
      </c>
      <c r="AB55" s="119">
        <f>_xlfn.IFS(AA55 = "Yes",Y55 - Z55,AA55 = "No",Y55)</f>
        <v>37.739361702127667</v>
      </c>
      <c r="AE55" s="186">
        <v>0.13</v>
      </c>
      <c r="AF55" s="186">
        <v>0.1</v>
      </c>
      <c r="AG55" s="186">
        <v>0.12</v>
      </c>
      <c r="AH55" s="186">
        <v>0.1</v>
      </c>
      <c r="AI55" s="186">
        <v>0.25</v>
      </c>
      <c r="AJ55" s="187">
        <v>1880</v>
      </c>
      <c r="AL55" s="188">
        <v>145</v>
      </c>
      <c r="AM55" s="20">
        <f>AI58</f>
        <v>115.69148936170214</v>
      </c>
      <c r="AN55" s="20">
        <f>AL55 - AM55</f>
        <v>29.308510638297861</v>
      </c>
      <c r="AO55" s="20">
        <f>1000 / (AJ55 / 12)</f>
        <v>6.3829787234042561</v>
      </c>
      <c r="AP55" s="189" t="s">
        <v>25</v>
      </c>
      <c r="AQ55" s="20" cm="1">
        <f t="array" ref="AQ55">_xlfn.IFS(AP55 = "Yes",AN55 - AO55,AP55 = "No",AN55)</f>
        <v>22.925531914893604</v>
      </c>
      <c r="AR55" s="55">
        <v>0.13</v>
      </c>
      <c r="AS55" s="80">
        <v>0.1</v>
      </c>
      <c r="AT55" s="80">
        <v>0.12</v>
      </c>
      <c r="AU55" s="80">
        <v>0.1</v>
      </c>
      <c r="AV55" s="80">
        <v>0.25</v>
      </c>
      <c r="AW55" s="176">
        <v>1880</v>
      </c>
      <c r="AX55" s="177"/>
      <c r="AY55" s="178">
        <v>155</v>
      </c>
      <c r="AZ55" s="179">
        <f>AV58</f>
        <v>127.26063829787233</v>
      </c>
      <c r="BA55" s="179">
        <f>AY55 - AZ55</f>
        <v>27.739361702127667</v>
      </c>
      <c r="BB55" s="179">
        <f>1000 / (AW55 / 12)</f>
        <v>6.3829787234042561</v>
      </c>
      <c r="BC55" s="176" t="s">
        <v>105</v>
      </c>
      <c r="BD55" s="119">
        <f>_xlfn.IFS(BC55 = "Yes",BA55 - BB55,BC55 = "No",BA55)</f>
        <v>27.739361702127667</v>
      </c>
      <c r="BF55" s="55">
        <v>0.13</v>
      </c>
      <c r="BG55" s="80">
        <v>0.1</v>
      </c>
      <c r="BH55" s="80">
        <v>0.12</v>
      </c>
      <c r="BI55" s="80">
        <v>0.1</v>
      </c>
      <c r="BJ55" s="80">
        <v>0.25</v>
      </c>
      <c r="BK55" s="176">
        <v>1880</v>
      </c>
      <c r="BL55" s="177"/>
      <c r="BM55" s="178">
        <v>150</v>
      </c>
      <c r="BN55" s="179">
        <f>BJ58</f>
        <v>127.26063829787233</v>
      </c>
      <c r="BO55" s="179">
        <f>BM55 - BN55</f>
        <v>22.739361702127667</v>
      </c>
      <c r="BP55" s="179">
        <f>1000 / (BK55 / 12)</f>
        <v>6.3829787234042561</v>
      </c>
      <c r="BQ55" s="176" t="s">
        <v>105</v>
      </c>
      <c r="BR55" s="119">
        <f>_xlfn.IFS(BQ55 = "Yes",BO55 - BP55,BQ55 = "No",BO55)</f>
        <v>22.739361702127667</v>
      </c>
    </row>
    <row r="56" spans="2:70" x14ac:dyDescent="0.3">
      <c r="B56" s="120"/>
      <c r="C56" s="121"/>
      <c r="D56" s="121"/>
      <c r="E56" s="121"/>
      <c r="F56" s="121"/>
      <c r="G56" s="121"/>
      <c r="I56" s="121"/>
      <c r="J56" s="121"/>
      <c r="K56" s="121"/>
      <c r="L56" s="121"/>
      <c r="M56" s="121"/>
      <c r="N56" s="122"/>
      <c r="O56" s="215"/>
      <c r="P56" s="120"/>
      <c r="Q56" s="177"/>
      <c r="R56" s="177"/>
      <c r="S56" s="177"/>
      <c r="T56" s="177"/>
      <c r="U56" s="177"/>
      <c r="W56" s="177"/>
      <c r="X56" s="177"/>
      <c r="Y56" s="177"/>
      <c r="Z56" s="177"/>
      <c r="AA56" s="177"/>
      <c r="AB56" s="122"/>
      <c r="AR56" s="120"/>
      <c r="AS56" s="177"/>
      <c r="AT56" s="177"/>
      <c r="AU56" s="177"/>
      <c r="AV56" s="177"/>
      <c r="AW56" s="177"/>
      <c r="AY56" s="177"/>
      <c r="AZ56" s="177"/>
      <c r="BA56" s="177"/>
      <c r="BB56" s="177"/>
      <c r="BC56" s="177"/>
      <c r="BD56" s="122"/>
      <c r="BF56" s="120"/>
      <c r="BG56" s="177"/>
      <c r="BH56" s="177"/>
      <c r="BI56" s="177"/>
      <c r="BJ56" s="177"/>
      <c r="BK56" s="177"/>
      <c r="BM56" s="177"/>
      <c r="BN56" s="177"/>
      <c r="BO56" s="177"/>
      <c r="BP56" s="177"/>
      <c r="BQ56" s="177"/>
      <c r="BR56" s="122"/>
    </row>
    <row r="57" spans="2:70" ht="57.6" x14ac:dyDescent="0.3">
      <c r="B57" s="123" t="s">
        <v>84</v>
      </c>
      <c r="C57" s="124" t="s">
        <v>11</v>
      </c>
      <c r="D57" s="124" t="s">
        <v>12</v>
      </c>
      <c r="E57" s="124" t="s">
        <v>13</v>
      </c>
      <c r="F57" s="124" t="s">
        <v>14</v>
      </c>
      <c r="G57" s="124" t="s">
        <v>15</v>
      </c>
      <c r="H57" s="124"/>
      <c r="I57" s="124" t="s">
        <v>26</v>
      </c>
      <c r="J57" s="124" t="s">
        <v>27</v>
      </c>
      <c r="K57" s="124" t="s">
        <v>28</v>
      </c>
      <c r="L57" s="125" t="s">
        <v>29</v>
      </c>
      <c r="M57" s="124" t="s">
        <v>30</v>
      </c>
      <c r="N57" s="126" t="s">
        <v>31</v>
      </c>
      <c r="O57" s="124"/>
      <c r="P57" s="123" t="s">
        <v>84</v>
      </c>
      <c r="Q57" s="124" t="s">
        <v>11</v>
      </c>
      <c r="R57" s="124" t="s">
        <v>12</v>
      </c>
      <c r="S57" s="124" t="s">
        <v>13</v>
      </c>
      <c r="T57" s="124" t="s">
        <v>14</v>
      </c>
      <c r="U57" s="124" t="s">
        <v>15</v>
      </c>
      <c r="V57" s="124"/>
      <c r="W57" s="124" t="s">
        <v>26</v>
      </c>
      <c r="X57" s="124" t="s">
        <v>27</v>
      </c>
      <c r="Y57" s="124" t="s">
        <v>28</v>
      </c>
      <c r="Z57" s="181" t="s">
        <v>29</v>
      </c>
      <c r="AA57" s="124" t="s">
        <v>30</v>
      </c>
      <c r="AB57" s="126" t="s">
        <v>31</v>
      </c>
      <c r="AE57" s="185" t="s">
        <v>10</v>
      </c>
      <c r="AF57" s="185" t="s">
        <v>11</v>
      </c>
      <c r="AG57" s="185" t="s">
        <v>12</v>
      </c>
      <c r="AH57" s="185" t="s">
        <v>13</v>
      </c>
      <c r="AI57" s="185" t="s">
        <v>14</v>
      </c>
      <c r="AJ57" s="185" t="s">
        <v>15</v>
      </c>
      <c r="AK57" s="6"/>
      <c r="AL57" s="185" t="s">
        <v>26</v>
      </c>
      <c r="AM57" s="185" t="s">
        <v>27</v>
      </c>
      <c r="AN57" s="185" t="s">
        <v>28</v>
      </c>
      <c r="AO57" s="190" t="s">
        <v>29</v>
      </c>
      <c r="AP57" s="185" t="s">
        <v>30</v>
      </c>
      <c r="AQ57" s="185" t="s">
        <v>31</v>
      </c>
      <c r="AR57" s="123" t="s">
        <v>84</v>
      </c>
      <c r="AS57" s="180" t="s">
        <v>11</v>
      </c>
      <c r="AT57" s="180" t="s">
        <v>12</v>
      </c>
      <c r="AU57" s="180" t="s">
        <v>13</v>
      </c>
      <c r="AV57" s="180" t="s">
        <v>14</v>
      </c>
      <c r="AW57" s="180" t="s">
        <v>15</v>
      </c>
      <c r="AX57" s="180"/>
      <c r="AY57" s="180" t="s">
        <v>26</v>
      </c>
      <c r="AZ57" s="180" t="s">
        <v>27</v>
      </c>
      <c r="BA57" s="180" t="s">
        <v>28</v>
      </c>
      <c r="BB57" s="181" t="s">
        <v>29</v>
      </c>
      <c r="BC57" s="180" t="s">
        <v>30</v>
      </c>
      <c r="BD57" s="126" t="s">
        <v>31</v>
      </c>
      <c r="BF57" s="123" t="s">
        <v>84</v>
      </c>
      <c r="BG57" s="180" t="s">
        <v>11</v>
      </c>
      <c r="BH57" s="180" t="s">
        <v>12</v>
      </c>
      <c r="BI57" s="180" t="s">
        <v>13</v>
      </c>
      <c r="BJ57" s="180" t="s">
        <v>14</v>
      </c>
      <c r="BK57" s="180" t="s">
        <v>15</v>
      </c>
      <c r="BL57" s="180"/>
      <c r="BM57" s="180" t="s">
        <v>26</v>
      </c>
      <c r="BN57" s="180" t="s">
        <v>27</v>
      </c>
      <c r="BO57" s="180" t="s">
        <v>28</v>
      </c>
      <c r="BP57" s="181" t="s">
        <v>29</v>
      </c>
      <c r="BQ57" s="180" t="s">
        <v>30</v>
      </c>
      <c r="BR57" s="126" t="s">
        <v>31</v>
      </c>
    </row>
    <row r="58" spans="2:70" x14ac:dyDescent="0.3">
      <c r="B58" s="52">
        <v>165000</v>
      </c>
      <c r="C58" s="45">
        <f>B58 / $G55</f>
        <v>87.765957446808514</v>
      </c>
      <c r="D58" s="45">
        <f>SUM($B55,$C55,$D55,$E55)</f>
        <v>0.44999999999999996</v>
      </c>
      <c r="E58" s="45">
        <f>(B58 * D58) / $G55</f>
        <v>39.494680851063819</v>
      </c>
      <c r="F58" s="45">
        <f>C58 + E58</f>
        <v>127.26063829787233</v>
      </c>
      <c r="G58" s="45">
        <f>F58 * (1+$F55)</f>
        <v>159.07579787234042</v>
      </c>
      <c r="H58" s="127"/>
      <c r="I58" s="45">
        <f>G55 * I55</f>
        <v>300800</v>
      </c>
      <c r="J58" s="45">
        <f>_xlfn.IFS(M55 = "Yes",G55 * (J55 + L55),M55 &lt;&gt; "Yes",G55 * (J55))</f>
        <v>239250</v>
      </c>
      <c r="K58" s="45">
        <f>I58 - J58</f>
        <v>61550</v>
      </c>
      <c r="L58" s="46">
        <f>K58 / I58</f>
        <v>0.20462101063829788</v>
      </c>
      <c r="M58" s="45">
        <f>I58 / 12</f>
        <v>25066.666666666668</v>
      </c>
      <c r="N58" s="47">
        <f>K58 / 12</f>
        <v>5129.166666666667</v>
      </c>
      <c r="O58" s="118"/>
      <c r="P58" s="52">
        <v>165000</v>
      </c>
      <c r="Q58" s="45">
        <f>P58 / $G55</f>
        <v>87.765957446808514</v>
      </c>
      <c r="R58" s="45">
        <f>SUM($B55,$C55,$D55,$E55)</f>
        <v>0.44999999999999996</v>
      </c>
      <c r="S58" s="45">
        <f>(P58 * R58) / $G55</f>
        <v>39.494680851063819</v>
      </c>
      <c r="T58" s="45">
        <f>Q58 + S58</f>
        <v>127.26063829787233</v>
      </c>
      <c r="U58" s="45">
        <f>T58 * (1+$F55)</f>
        <v>159.07579787234042</v>
      </c>
      <c r="V58" s="127"/>
      <c r="W58" s="45">
        <f>U55 * W55</f>
        <v>310200</v>
      </c>
      <c r="X58" s="45">
        <f>_xlfn.IFS(AA55 = "Yes",U55 * (X55 + Z55),AA55 &lt;&gt; "Yes",U55 * (X55))</f>
        <v>239250</v>
      </c>
      <c r="Y58" s="45">
        <f>W58 - X58</f>
        <v>70950</v>
      </c>
      <c r="Z58" s="46">
        <f>Y58 / W58</f>
        <v>0.22872340425531915</v>
      </c>
      <c r="AA58" s="45">
        <f>W58 / 12</f>
        <v>25850</v>
      </c>
      <c r="AB58" s="47">
        <f>Y58 / 12</f>
        <v>5912.5</v>
      </c>
      <c r="AE58" s="191">
        <v>150000</v>
      </c>
      <c r="AF58" s="20">
        <f>AE58 / $G55</f>
        <v>79.787234042553195</v>
      </c>
      <c r="AG58" s="3">
        <f>SUM($B55,$C55,$D55,$E55)</f>
        <v>0.44999999999999996</v>
      </c>
      <c r="AH58" s="20">
        <f>(AE58 * AG58) / $G55</f>
        <v>35.904255319148938</v>
      </c>
      <c r="AI58" s="20">
        <f>AF58 + AH58</f>
        <v>115.69148936170214</v>
      </c>
      <c r="AJ58" s="24">
        <f>AI58 * (1+$F55)</f>
        <v>144.61436170212767</v>
      </c>
      <c r="AK58" s="25"/>
      <c r="AL58" s="16">
        <f>AJ55 * AL55</f>
        <v>272600</v>
      </c>
      <c r="AM58" s="16" cm="1">
        <f t="array" ref="AM58">_xlfn.IFS(AP55 = "Yes",AJ55 * (AM55 + AO55),AP55 &lt;&gt; "Yes",AJ55 * (AM55))</f>
        <v>229500</v>
      </c>
      <c r="AN58" s="16">
        <f>AL58 - AM58</f>
        <v>43100</v>
      </c>
      <c r="AO58" s="192">
        <f>AN58 / AM58</f>
        <v>0.18779956427015251</v>
      </c>
      <c r="AP58" s="16">
        <f>AL58 / 12</f>
        <v>22716.666666666668</v>
      </c>
      <c r="AQ58" s="16">
        <f>AN58 / 12</f>
        <v>3591.6666666666665</v>
      </c>
      <c r="AR58" s="52">
        <v>165000</v>
      </c>
      <c r="AS58" s="45">
        <f>AR58 / $G55</f>
        <v>87.765957446808514</v>
      </c>
      <c r="AT58" s="45">
        <f>SUM($B55,$C55,$D55,$E55)</f>
        <v>0.44999999999999996</v>
      </c>
      <c r="AU58" s="45">
        <f>(AR58 * AT58) / $G55</f>
        <v>39.494680851063819</v>
      </c>
      <c r="AV58" s="45">
        <f>AS58 + AU58</f>
        <v>127.26063829787233</v>
      </c>
      <c r="AW58" s="45">
        <f>AV58 * (1+$F55)</f>
        <v>159.07579787234042</v>
      </c>
      <c r="AX58" s="127"/>
      <c r="AY58" s="45">
        <f>AW55 * AY55</f>
        <v>291400</v>
      </c>
      <c r="AZ58" s="45">
        <f>_xlfn.IFS(BC55 = "Yes",AW55 * (AZ55 + BB55),BC55 &lt;&gt; "Yes",AW55 * (AZ55))</f>
        <v>239250</v>
      </c>
      <c r="BA58" s="45">
        <f>AY58 - AZ58</f>
        <v>52150</v>
      </c>
      <c r="BB58" s="46">
        <f>BA58 / AY58</f>
        <v>0.17896362388469458</v>
      </c>
      <c r="BC58" s="45">
        <f>AY58 / 12</f>
        <v>24283.333333333332</v>
      </c>
      <c r="BD58" s="47">
        <f>BA58 / 12</f>
        <v>4345.833333333333</v>
      </c>
      <c r="BF58" s="52">
        <v>165000</v>
      </c>
      <c r="BG58" s="45">
        <f>BF58 / $G55</f>
        <v>87.765957446808514</v>
      </c>
      <c r="BH58" s="45">
        <f>SUM($B55,$C55,$D55,$E55)</f>
        <v>0.44999999999999996</v>
      </c>
      <c r="BI58" s="45">
        <f>(BF58 * BH58) / $G55</f>
        <v>39.494680851063819</v>
      </c>
      <c r="BJ58" s="45">
        <f>BG58 + BI58</f>
        <v>127.26063829787233</v>
      </c>
      <c r="BK58" s="45">
        <f>BJ58 * (1+$F55)</f>
        <v>159.07579787234042</v>
      </c>
      <c r="BL58" s="127"/>
      <c r="BM58" s="45">
        <f>BK55 * BM55</f>
        <v>282000</v>
      </c>
      <c r="BN58" s="45">
        <f>_xlfn.IFS(BQ55 = "Yes",BK55 * (BN55 + BP55),BQ55 &lt;&gt; "Yes",BK55 * (BN55))</f>
        <v>239250</v>
      </c>
      <c r="BO58" s="45">
        <f>BM58 - BN58</f>
        <v>42750</v>
      </c>
      <c r="BP58" s="46">
        <f>BO58 / BM58</f>
        <v>0.15159574468085107</v>
      </c>
      <c r="BQ58" s="45">
        <f>BM58 / 12</f>
        <v>23500</v>
      </c>
      <c r="BR58" s="47">
        <f>BO58 / 12</f>
        <v>3562.5</v>
      </c>
    </row>
    <row r="60" spans="2:70" ht="21" x14ac:dyDescent="0.4">
      <c r="B60" s="49" t="s">
        <v>226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1"/>
      <c r="O60" s="214"/>
      <c r="P60" s="49" t="s">
        <v>226</v>
      </c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R60" s="216" t="s">
        <v>226</v>
      </c>
      <c r="AS60" s="217"/>
      <c r="AT60" s="217"/>
      <c r="AU60" s="217"/>
      <c r="AV60" s="217"/>
      <c r="AW60" s="217"/>
      <c r="AX60" s="217"/>
      <c r="AY60" s="217"/>
      <c r="AZ60" s="217"/>
      <c r="BA60" s="217"/>
      <c r="BB60" s="217"/>
      <c r="BC60" s="217"/>
      <c r="BD60" s="218"/>
      <c r="BE60" s="219"/>
      <c r="BF60" s="216" t="s">
        <v>226</v>
      </c>
      <c r="BG60" s="217"/>
      <c r="BH60" s="217"/>
      <c r="BI60" s="217"/>
      <c r="BJ60" s="217"/>
      <c r="BK60" s="217"/>
      <c r="BL60" s="217"/>
      <c r="BM60" s="217"/>
      <c r="BN60" s="217"/>
      <c r="BO60" s="217"/>
      <c r="BP60" s="217"/>
      <c r="BQ60" s="217"/>
      <c r="BR60" s="218"/>
    </row>
    <row r="61" spans="2:70" ht="72" x14ac:dyDescent="0.3">
      <c r="B61" s="33" t="s">
        <v>1</v>
      </c>
      <c r="C61" s="34" t="s">
        <v>3</v>
      </c>
      <c r="D61" s="34" t="s">
        <v>2</v>
      </c>
      <c r="E61" s="34" t="s">
        <v>4</v>
      </c>
      <c r="F61" s="34" t="s">
        <v>6</v>
      </c>
      <c r="G61" s="34" t="s">
        <v>5</v>
      </c>
      <c r="H61" s="34"/>
      <c r="I61" s="34" t="s">
        <v>19</v>
      </c>
      <c r="J61" s="34" t="s">
        <v>20</v>
      </c>
      <c r="K61" s="34" t="s">
        <v>21</v>
      </c>
      <c r="L61" s="35" t="s">
        <v>22</v>
      </c>
      <c r="M61" s="34" t="s">
        <v>23</v>
      </c>
      <c r="N61" s="36" t="s">
        <v>24</v>
      </c>
      <c r="O61" s="34"/>
      <c r="P61" s="33" t="s">
        <v>1</v>
      </c>
      <c r="Q61" s="34" t="s">
        <v>3</v>
      </c>
      <c r="R61" s="34" t="s">
        <v>2</v>
      </c>
      <c r="S61" s="34" t="s">
        <v>4</v>
      </c>
      <c r="T61" s="34" t="s">
        <v>6</v>
      </c>
      <c r="U61" s="34" t="s">
        <v>5</v>
      </c>
      <c r="V61" s="34"/>
      <c r="W61" s="34" t="s">
        <v>19</v>
      </c>
      <c r="X61" s="34" t="s">
        <v>20</v>
      </c>
      <c r="Y61" s="34" t="s">
        <v>21</v>
      </c>
      <c r="Z61" s="78" t="s">
        <v>22</v>
      </c>
      <c r="AA61" s="34" t="s">
        <v>23</v>
      </c>
      <c r="AB61" s="36" t="s">
        <v>24</v>
      </c>
      <c r="AR61" s="220" t="s">
        <v>1</v>
      </c>
      <c r="AS61" s="221" t="s">
        <v>3</v>
      </c>
      <c r="AT61" s="221" t="s">
        <v>2</v>
      </c>
      <c r="AU61" s="221" t="s">
        <v>4</v>
      </c>
      <c r="AV61" s="221" t="s">
        <v>6</v>
      </c>
      <c r="AW61" s="221" t="s">
        <v>5</v>
      </c>
      <c r="AX61" s="221"/>
      <c r="AY61" s="221" t="s">
        <v>19</v>
      </c>
      <c r="AZ61" s="221" t="s">
        <v>20</v>
      </c>
      <c r="BA61" s="221" t="s">
        <v>21</v>
      </c>
      <c r="BB61" s="222" t="s">
        <v>22</v>
      </c>
      <c r="BC61" s="221" t="s">
        <v>23</v>
      </c>
      <c r="BD61" s="223" t="s">
        <v>24</v>
      </c>
      <c r="BE61" s="219"/>
      <c r="BF61" s="220" t="s">
        <v>1</v>
      </c>
      <c r="BG61" s="221" t="s">
        <v>3</v>
      </c>
      <c r="BH61" s="221" t="s">
        <v>2</v>
      </c>
      <c r="BI61" s="221" t="s">
        <v>4</v>
      </c>
      <c r="BJ61" s="221" t="s">
        <v>6</v>
      </c>
      <c r="BK61" s="221" t="s">
        <v>5</v>
      </c>
      <c r="BL61" s="221"/>
      <c r="BM61" s="221" t="s">
        <v>19</v>
      </c>
      <c r="BN61" s="221" t="s">
        <v>20</v>
      </c>
      <c r="BO61" s="221" t="s">
        <v>21</v>
      </c>
      <c r="BP61" s="222" t="s">
        <v>22</v>
      </c>
      <c r="BQ61" s="221" t="s">
        <v>23</v>
      </c>
      <c r="BR61" s="223" t="s">
        <v>24</v>
      </c>
    </row>
    <row r="62" spans="2:70" x14ac:dyDescent="0.3">
      <c r="B62" s="55">
        <v>0.13</v>
      </c>
      <c r="C62" s="53">
        <v>0.1</v>
      </c>
      <c r="D62" s="53">
        <v>0.12</v>
      </c>
      <c r="E62" s="53">
        <v>0.1</v>
      </c>
      <c r="F62" s="53">
        <v>0.25</v>
      </c>
      <c r="G62" s="115">
        <v>1880</v>
      </c>
      <c r="H62" s="121"/>
      <c r="I62" s="146">
        <v>125</v>
      </c>
      <c r="J62" s="118">
        <f>F65</f>
        <v>92.553191489361694</v>
      </c>
      <c r="K62" s="118">
        <f>I62 - J62</f>
        <v>32.446808510638306</v>
      </c>
      <c r="L62" s="118">
        <f>1000 / (G62 / 12)</f>
        <v>6.3829787234042561</v>
      </c>
      <c r="M62" s="115" t="s">
        <v>25</v>
      </c>
      <c r="N62" s="119">
        <f>_xlfn.IFS(M62 = "Yes",K62 - L62,M62 = "No",K62)</f>
        <v>26.063829787234049</v>
      </c>
      <c r="O62" s="118"/>
      <c r="P62" s="55">
        <v>0.13</v>
      </c>
      <c r="Q62" s="80">
        <v>0.1</v>
      </c>
      <c r="R62" s="80">
        <v>0.12</v>
      </c>
      <c r="S62" s="80">
        <v>0.1</v>
      </c>
      <c r="T62" s="80">
        <v>0.25</v>
      </c>
      <c r="U62" s="176">
        <v>1880</v>
      </c>
      <c r="V62" s="177"/>
      <c r="W62" s="178">
        <v>129</v>
      </c>
      <c r="X62" s="118">
        <f>T65</f>
        <v>92.553191489361694</v>
      </c>
      <c r="Y62" s="118">
        <f>W62 - X62</f>
        <v>36.446808510638306</v>
      </c>
      <c r="Z62" s="118">
        <f>1000 / (U62 / 12)</f>
        <v>6.3829787234042561</v>
      </c>
      <c r="AA62" s="176" t="s">
        <v>25</v>
      </c>
      <c r="AB62" s="119">
        <f>_xlfn.IFS(AA62 = "Yes",Y62 - Z62,AA62 = "No",Y62)</f>
        <v>30.063829787234049</v>
      </c>
      <c r="AR62" s="224">
        <v>0.13</v>
      </c>
      <c r="AS62" s="225">
        <v>0.1</v>
      </c>
      <c r="AT62" s="225">
        <v>0.12</v>
      </c>
      <c r="AU62" s="225">
        <v>0.1</v>
      </c>
      <c r="AV62" s="225">
        <v>0.25</v>
      </c>
      <c r="AW62" s="226">
        <v>1880</v>
      </c>
      <c r="AX62" s="227"/>
      <c r="AY62" s="228">
        <v>125</v>
      </c>
      <c r="AZ62" s="229">
        <f>AV65</f>
        <v>92.553191489361694</v>
      </c>
      <c r="BA62" s="229">
        <f>AY62 - AZ62</f>
        <v>32.446808510638306</v>
      </c>
      <c r="BB62" s="229">
        <f>1000 / (AW62 / 12)</f>
        <v>6.3829787234042561</v>
      </c>
      <c r="BC62" s="226" t="s">
        <v>25</v>
      </c>
      <c r="BD62" s="230">
        <f>_xlfn.IFS(BC62 = "Yes",BA62 - BB62,BC62 = "No",BA62)</f>
        <v>26.063829787234049</v>
      </c>
      <c r="BE62" s="219"/>
      <c r="BF62" s="224">
        <v>0.13</v>
      </c>
      <c r="BG62" s="225">
        <v>0.1</v>
      </c>
      <c r="BH62" s="225">
        <v>0.12</v>
      </c>
      <c r="BI62" s="225">
        <v>0.1</v>
      </c>
      <c r="BJ62" s="225">
        <v>0.25</v>
      </c>
      <c r="BK62" s="226">
        <v>1880</v>
      </c>
      <c r="BL62" s="227"/>
      <c r="BM62" s="228">
        <v>125</v>
      </c>
      <c r="BN62" s="229">
        <f>BJ65</f>
        <v>92.553191489361694</v>
      </c>
      <c r="BO62" s="229">
        <f>BM62 - BN62</f>
        <v>32.446808510638306</v>
      </c>
      <c r="BP62" s="229">
        <f>1000 / (BK62 / 12)</f>
        <v>6.3829787234042561</v>
      </c>
      <c r="BQ62" s="226" t="s">
        <v>25</v>
      </c>
      <c r="BR62" s="230">
        <f>_xlfn.IFS(BQ62 = "Yes",BO62 - BP62,BQ62 = "No",BO62)</f>
        <v>26.063829787234049</v>
      </c>
    </row>
    <row r="63" spans="2:70" x14ac:dyDescent="0.3">
      <c r="B63" s="120"/>
      <c r="C63" s="121"/>
      <c r="D63" s="121"/>
      <c r="E63" s="121"/>
      <c r="F63" s="121"/>
      <c r="G63" s="121"/>
      <c r="I63" s="121"/>
      <c r="J63" s="121"/>
      <c r="K63" s="121"/>
      <c r="L63" s="121"/>
      <c r="M63" s="121"/>
      <c r="N63" s="122"/>
      <c r="O63" s="215"/>
      <c r="P63" s="120"/>
      <c r="Q63" s="177"/>
      <c r="R63" s="177"/>
      <c r="S63" s="177"/>
      <c r="T63" s="177"/>
      <c r="U63" s="177"/>
      <c r="W63" s="177"/>
      <c r="X63" s="177"/>
      <c r="Y63" s="177"/>
      <c r="Z63" s="177"/>
      <c r="AA63" s="177"/>
      <c r="AB63" s="122"/>
      <c r="AR63" s="231"/>
      <c r="AS63" s="227"/>
      <c r="AT63" s="227"/>
      <c r="AU63" s="227"/>
      <c r="AV63" s="227"/>
      <c r="AW63" s="227"/>
      <c r="AX63" s="219"/>
      <c r="AY63" s="227"/>
      <c r="AZ63" s="227"/>
      <c r="BA63" s="227"/>
      <c r="BB63" s="227"/>
      <c r="BC63" s="227"/>
      <c r="BD63" s="232"/>
      <c r="BE63" s="219"/>
      <c r="BF63" s="231"/>
      <c r="BG63" s="227"/>
      <c r="BH63" s="227"/>
      <c r="BI63" s="227"/>
      <c r="BJ63" s="227"/>
      <c r="BK63" s="227"/>
      <c r="BL63" s="219"/>
      <c r="BM63" s="227"/>
      <c r="BN63" s="227"/>
      <c r="BO63" s="227"/>
      <c r="BP63" s="227"/>
      <c r="BQ63" s="227"/>
      <c r="BR63" s="232"/>
    </row>
    <row r="64" spans="2:70" ht="57.6" x14ac:dyDescent="0.3">
      <c r="B64" s="123" t="s">
        <v>84</v>
      </c>
      <c r="C64" s="124" t="s">
        <v>11</v>
      </c>
      <c r="D64" s="124" t="s">
        <v>12</v>
      </c>
      <c r="E64" s="124" t="s">
        <v>13</v>
      </c>
      <c r="F64" s="124" t="s">
        <v>14</v>
      </c>
      <c r="G64" s="124" t="s">
        <v>15</v>
      </c>
      <c r="H64" s="124"/>
      <c r="I64" s="124" t="s">
        <v>26</v>
      </c>
      <c r="J64" s="124" t="s">
        <v>27</v>
      </c>
      <c r="K64" s="124" t="s">
        <v>28</v>
      </c>
      <c r="L64" s="125" t="s">
        <v>29</v>
      </c>
      <c r="M64" s="124" t="s">
        <v>30</v>
      </c>
      <c r="N64" s="126" t="s">
        <v>31</v>
      </c>
      <c r="O64" s="124"/>
      <c r="P64" s="123" t="s">
        <v>84</v>
      </c>
      <c r="Q64" s="124" t="s">
        <v>11</v>
      </c>
      <c r="R64" s="124" t="s">
        <v>12</v>
      </c>
      <c r="S64" s="124" t="s">
        <v>13</v>
      </c>
      <c r="T64" s="124" t="s">
        <v>14</v>
      </c>
      <c r="U64" s="124" t="s">
        <v>15</v>
      </c>
      <c r="V64" s="124"/>
      <c r="W64" s="124" t="s">
        <v>26</v>
      </c>
      <c r="X64" s="124" t="s">
        <v>27</v>
      </c>
      <c r="Y64" s="124" t="s">
        <v>28</v>
      </c>
      <c r="Z64" s="181" t="s">
        <v>29</v>
      </c>
      <c r="AA64" s="124" t="s">
        <v>30</v>
      </c>
      <c r="AB64" s="126" t="s">
        <v>31</v>
      </c>
      <c r="AR64" s="233" t="s">
        <v>84</v>
      </c>
      <c r="AS64" s="234" t="s">
        <v>11</v>
      </c>
      <c r="AT64" s="234" t="s">
        <v>12</v>
      </c>
      <c r="AU64" s="234" t="s">
        <v>13</v>
      </c>
      <c r="AV64" s="234" t="s">
        <v>14</v>
      </c>
      <c r="AW64" s="234" t="s">
        <v>15</v>
      </c>
      <c r="AX64" s="234"/>
      <c r="AY64" s="234" t="s">
        <v>26</v>
      </c>
      <c r="AZ64" s="234" t="s">
        <v>27</v>
      </c>
      <c r="BA64" s="234" t="s">
        <v>28</v>
      </c>
      <c r="BB64" s="235" t="s">
        <v>29</v>
      </c>
      <c r="BC64" s="234" t="s">
        <v>30</v>
      </c>
      <c r="BD64" s="236" t="s">
        <v>31</v>
      </c>
      <c r="BE64" s="219"/>
      <c r="BF64" s="233" t="s">
        <v>84</v>
      </c>
      <c r="BG64" s="234" t="s">
        <v>11</v>
      </c>
      <c r="BH64" s="234" t="s">
        <v>12</v>
      </c>
      <c r="BI64" s="234" t="s">
        <v>13</v>
      </c>
      <c r="BJ64" s="234" t="s">
        <v>14</v>
      </c>
      <c r="BK64" s="234" t="s">
        <v>15</v>
      </c>
      <c r="BL64" s="234"/>
      <c r="BM64" s="234" t="s">
        <v>26</v>
      </c>
      <c r="BN64" s="234" t="s">
        <v>27</v>
      </c>
      <c r="BO64" s="234" t="s">
        <v>28</v>
      </c>
      <c r="BP64" s="235" t="s">
        <v>29</v>
      </c>
      <c r="BQ64" s="234" t="s">
        <v>30</v>
      </c>
      <c r="BR64" s="236" t="s">
        <v>31</v>
      </c>
    </row>
    <row r="65" spans="2:70" x14ac:dyDescent="0.3">
      <c r="B65" s="52">
        <v>120000</v>
      </c>
      <c r="C65" s="45">
        <f>B65 / $G62</f>
        <v>63.829787234042556</v>
      </c>
      <c r="D65" s="45">
        <f>SUM($B62,$C62,$D62,$E62)</f>
        <v>0.44999999999999996</v>
      </c>
      <c r="E65" s="45">
        <f>(B65 * D65) / $G62</f>
        <v>28.723404255319146</v>
      </c>
      <c r="F65" s="45">
        <f>C65 + E65</f>
        <v>92.553191489361694</v>
      </c>
      <c r="G65" s="45">
        <f>F65 * (1+$F62)</f>
        <v>115.69148936170211</v>
      </c>
      <c r="H65" s="127"/>
      <c r="I65" s="45">
        <f>G62 * I62</f>
        <v>235000</v>
      </c>
      <c r="J65" s="45">
        <f>_xlfn.IFS(M62 = "Yes",G62 * (J62 + L62),M62 &lt;&gt; "Yes",G62 * (J62))</f>
        <v>185999.99999999997</v>
      </c>
      <c r="K65" s="45">
        <f>I65 - J65</f>
        <v>49000.000000000029</v>
      </c>
      <c r="L65" s="46">
        <f>K65 / I65</f>
        <v>0.20851063829787247</v>
      </c>
      <c r="M65" s="45">
        <f>I65 / 12</f>
        <v>19583.333333333332</v>
      </c>
      <c r="N65" s="47">
        <f>K65 / 12</f>
        <v>4083.3333333333358</v>
      </c>
      <c r="O65" s="118"/>
      <c r="P65" s="52">
        <v>120000</v>
      </c>
      <c r="Q65" s="45">
        <f>P65 / $G62</f>
        <v>63.829787234042556</v>
      </c>
      <c r="R65" s="45">
        <f>SUM($B62,$C62,$D62,$E62)</f>
        <v>0.44999999999999996</v>
      </c>
      <c r="S65" s="45">
        <f>(P65 * R65) / $G62</f>
        <v>28.723404255319146</v>
      </c>
      <c r="T65" s="45">
        <f>Q65 + S65</f>
        <v>92.553191489361694</v>
      </c>
      <c r="U65" s="45">
        <f>T65 * (1+$F62)</f>
        <v>115.69148936170211</v>
      </c>
      <c r="V65" s="127"/>
      <c r="W65" s="45">
        <f>U62 * W62</f>
        <v>242520</v>
      </c>
      <c r="X65" s="45">
        <f>_xlfn.IFS(AA62 = "Yes",U62 * (X62 + Z62),AA62 &lt;&gt; "Yes",U62 * (X62))</f>
        <v>185999.99999999997</v>
      </c>
      <c r="Y65" s="45">
        <f>W65 - X65</f>
        <v>56520.000000000029</v>
      </c>
      <c r="Z65" s="46">
        <f>Y65 / W65</f>
        <v>0.23305294408708571</v>
      </c>
      <c r="AA65" s="45">
        <f>W65 / 12</f>
        <v>20210</v>
      </c>
      <c r="AB65" s="47">
        <f>Y65 / 12</f>
        <v>4710.0000000000027</v>
      </c>
      <c r="AR65" s="237">
        <v>120000</v>
      </c>
      <c r="AS65" s="238">
        <f>AR65 / $G62</f>
        <v>63.829787234042556</v>
      </c>
      <c r="AT65" s="238">
        <f>SUM($B62,$C62,$D62,$E62)</f>
        <v>0.44999999999999996</v>
      </c>
      <c r="AU65" s="238">
        <f>(AR65 * AT65) / $G62</f>
        <v>28.723404255319146</v>
      </c>
      <c r="AV65" s="238">
        <f>AS65 + AU65</f>
        <v>92.553191489361694</v>
      </c>
      <c r="AW65" s="238">
        <f>AV65 * (1+$F62)</f>
        <v>115.69148936170211</v>
      </c>
      <c r="AX65" s="239"/>
      <c r="AY65" s="238">
        <f>AW62 * AY62</f>
        <v>235000</v>
      </c>
      <c r="AZ65" s="238">
        <f>_xlfn.IFS(BC62 = "Yes",AW62 * (AZ62 + BB62),BC62 &lt;&gt; "Yes",AW62 * (AZ62))</f>
        <v>185999.99999999997</v>
      </c>
      <c r="BA65" s="238">
        <f>AY65 - AZ65</f>
        <v>49000.000000000029</v>
      </c>
      <c r="BB65" s="240">
        <f>BA65 / AY65</f>
        <v>0.20851063829787247</v>
      </c>
      <c r="BC65" s="238">
        <f>AY65 / 12</f>
        <v>19583.333333333332</v>
      </c>
      <c r="BD65" s="241">
        <f>BA65 / 12</f>
        <v>4083.3333333333358</v>
      </c>
      <c r="BE65" s="219"/>
      <c r="BF65" s="237">
        <v>120000</v>
      </c>
      <c r="BG65" s="238">
        <f>BF65 / $G62</f>
        <v>63.829787234042556</v>
      </c>
      <c r="BH65" s="238">
        <f>SUM($B62,$C62,$D62,$E62)</f>
        <v>0.44999999999999996</v>
      </c>
      <c r="BI65" s="238">
        <f>(BF65 * BH65) / $G62</f>
        <v>28.723404255319146</v>
      </c>
      <c r="BJ65" s="238">
        <f>BG65 + BI65</f>
        <v>92.553191489361694</v>
      </c>
      <c r="BK65" s="238">
        <f>BJ65 * (1+$F62)</f>
        <v>115.69148936170211</v>
      </c>
      <c r="BL65" s="239"/>
      <c r="BM65" s="238">
        <f>BK62 * BM62</f>
        <v>235000</v>
      </c>
      <c r="BN65" s="238">
        <f>_xlfn.IFS(BQ62 = "Yes",BK62 * (BN62 + BP62),BQ62 &lt;&gt; "Yes",BK62 * (BN62))</f>
        <v>185999.99999999997</v>
      </c>
      <c r="BO65" s="238">
        <f>BM65 - BN65</f>
        <v>49000.000000000029</v>
      </c>
      <c r="BP65" s="240">
        <f>BO65 / BM65</f>
        <v>0.20851063829787247</v>
      </c>
      <c r="BQ65" s="238">
        <f>BM65 / 12</f>
        <v>19583.333333333332</v>
      </c>
      <c r="BR65" s="241">
        <f>BO65 / 12</f>
        <v>4083.3333333333358</v>
      </c>
    </row>
  </sheetData>
  <mergeCells count="2">
    <mergeCell ref="B2:AB2"/>
    <mergeCell ref="AR2:BR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F111-E4C5-49F6-8016-EB5217CB3104}">
  <dimension ref="A3:W53"/>
  <sheetViews>
    <sheetView zoomScale="70" zoomScaleNormal="70" workbookViewId="0">
      <selection activeCell="W25" sqref="W25:W28"/>
    </sheetView>
  </sheetViews>
  <sheetFormatPr defaultRowHeight="14.4" x14ac:dyDescent="0.3"/>
  <cols>
    <col min="1" max="1" width="12.5546875" customWidth="1"/>
    <col min="2" max="2" width="17.44140625" customWidth="1"/>
    <col min="3" max="3" width="18.109375" customWidth="1"/>
    <col min="4" max="4" width="18.44140625" customWidth="1"/>
    <col min="5" max="5" width="15.109375" customWidth="1"/>
    <col min="6" max="6" width="17.5546875" customWidth="1"/>
    <col min="7" max="8" width="15.109375" customWidth="1"/>
    <col min="9" max="9" width="17.109375" customWidth="1"/>
    <col min="10" max="11" width="15.109375" customWidth="1"/>
    <col min="12" max="12" width="19.88671875" bestFit="1" customWidth="1"/>
    <col min="13" max="15" width="15.109375" customWidth="1"/>
    <col min="16" max="16" width="15.33203125" customWidth="1"/>
    <col min="23" max="23" width="11.5546875" customWidth="1"/>
  </cols>
  <sheetData>
    <row r="3" spans="1:17" ht="28.8" x14ac:dyDescent="0.3">
      <c r="B3" s="34" t="s">
        <v>170</v>
      </c>
      <c r="C3" s="34" t="s">
        <v>26</v>
      </c>
      <c r="D3" s="34" t="s">
        <v>27</v>
      </c>
      <c r="E3" s="34" t="s">
        <v>28</v>
      </c>
      <c r="F3" s="34" t="s">
        <v>29</v>
      </c>
      <c r="G3" s="34" t="s">
        <v>30</v>
      </c>
      <c r="H3" s="34" t="s">
        <v>31</v>
      </c>
      <c r="K3" s="34"/>
      <c r="L3" s="34"/>
      <c r="M3" s="34"/>
      <c r="N3" s="34"/>
      <c r="O3" s="34"/>
      <c r="P3" s="34"/>
      <c r="Q3" s="34"/>
    </row>
    <row r="4" spans="1:17" ht="15" hidden="1" customHeight="1" x14ac:dyDescent="0.3">
      <c r="A4" s="279" t="s">
        <v>171</v>
      </c>
      <c r="B4" s="129"/>
      <c r="C4" s="130"/>
      <c r="D4" s="130"/>
      <c r="E4" s="130"/>
      <c r="F4" s="131"/>
      <c r="G4" s="130"/>
      <c r="H4" s="130"/>
      <c r="K4" s="129"/>
      <c r="L4" s="130"/>
      <c r="M4" s="130"/>
      <c r="N4" s="130"/>
      <c r="O4" s="131"/>
      <c r="P4" s="130"/>
      <c r="Q4" s="130"/>
    </row>
    <row r="5" spans="1:17" ht="15" hidden="1" customHeight="1" x14ac:dyDescent="0.3">
      <c r="A5" s="279"/>
      <c r="B5" s="129" t="s">
        <v>172</v>
      </c>
      <c r="C5" s="130" t="e">
        <f>#REF!</f>
        <v>#REF!</v>
      </c>
      <c r="D5" s="130" t="e">
        <f>#REF!</f>
        <v>#REF!</v>
      </c>
      <c r="E5" s="130" t="e">
        <f>#REF!</f>
        <v>#REF!</v>
      </c>
      <c r="F5" s="141" t="e">
        <f>#REF!</f>
        <v>#REF!</v>
      </c>
      <c r="G5" s="130" t="e">
        <f>#REF!</f>
        <v>#REF!</v>
      </c>
      <c r="H5" s="130" t="e">
        <f>#REF!</f>
        <v>#REF!</v>
      </c>
      <c r="K5" s="129"/>
      <c r="L5" s="130"/>
      <c r="M5" s="130"/>
      <c r="N5" s="130"/>
      <c r="O5" s="141"/>
      <c r="P5" s="130"/>
      <c r="Q5" s="130"/>
    </row>
    <row r="6" spans="1:17" ht="15" hidden="1" customHeight="1" x14ac:dyDescent="0.3">
      <c r="A6" s="279"/>
      <c r="B6" s="132" t="s">
        <v>64</v>
      </c>
      <c r="C6" s="134" t="e">
        <f>SUM(C4:C5)</f>
        <v>#REF!</v>
      </c>
      <c r="D6" s="134" t="e">
        <f>SUM(D4:D5)</f>
        <v>#REF!</v>
      </c>
      <c r="E6" s="134" t="e">
        <f>SUM(E4:E5)</f>
        <v>#REF!</v>
      </c>
      <c r="F6" s="136" t="e">
        <f>AVERAGE(F4:F5, 0.145)</f>
        <v>#REF!</v>
      </c>
      <c r="G6" s="134" t="e">
        <f>SUM(G4:G5)</f>
        <v>#REF!</v>
      </c>
      <c r="H6" s="134" t="e">
        <f>SUM(H4:H5)</f>
        <v>#REF!</v>
      </c>
      <c r="K6" s="132"/>
      <c r="L6" s="134"/>
      <c r="M6" s="134"/>
      <c r="N6" s="134"/>
      <c r="O6" s="136"/>
      <c r="P6" s="134"/>
      <c r="Q6" s="134"/>
    </row>
    <row r="7" spans="1:17" ht="15" hidden="1" customHeight="1" x14ac:dyDescent="0.3">
      <c r="B7" s="40"/>
      <c r="C7" s="121"/>
      <c r="D7" s="121"/>
      <c r="E7" s="124"/>
      <c r="F7" s="128"/>
      <c r="G7" s="121"/>
      <c r="H7" s="121"/>
      <c r="K7" s="40"/>
      <c r="L7" s="121"/>
      <c r="M7" s="121"/>
      <c r="N7" s="124"/>
      <c r="O7" s="128"/>
      <c r="P7" s="121"/>
      <c r="Q7" s="121"/>
    </row>
    <row r="8" spans="1:17" x14ac:dyDescent="0.3">
      <c r="A8" s="279" t="s">
        <v>227</v>
      </c>
      <c r="B8" s="129" t="s">
        <v>228</v>
      </c>
      <c r="C8" s="130">
        <f t="shared" ref="C8:H8" si="0">I25</f>
        <v>240997.19999999998</v>
      </c>
      <c r="D8" s="130">
        <f t="shared" si="0"/>
        <v>178749.99999999997</v>
      </c>
      <c r="E8" s="130">
        <f t="shared" si="0"/>
        <v>62247.200000000012</v>
      </c>
      <c r="F8" s="141">
        <f t="shared" si="0"/>
        <v>0.25829013781072979</v>
      </c>
      <c r="G8" s="130">
        <f t="shared" si="0"/>
        <v>20083.099999999999</v>
      </c>
      <c r="H8" s="130">
        <f t="shared" si="0"/>
        <v>5187.2666666666673</v>
      </c>
    </row>
    <row r="9" spans="1:17" x14ac:dyDescent="0.3">
      <c r="A9" s="279"/>
      <c r="B9" s="129" t="s">
        <v>229</v>
      </c>
      <c r="C9" s="130">
        <f t="shared" ref="C9:H9" si="1">I32</f>
        <v>240997.19999999998</v>
      </c>
      <c r="D9" s="130">
        <f t="shared" si="1"/>
        <v>178749.99999999997</v>
      </c>
      <c r="E9" s="130">
        <f t="shared" si="1"/>
        <v>62247.200000000012</v>
      </c>
      <c r="F9" s="141">
        <f t="shared" si="1"/>
        <v>0.25829013781072979</v>
      </c>
      <c r="G9" s="130">
        <f t="shared" si="1"/>
        <v>20083.099999999999</v>
      </c>
      <c r="H9" s="130">
        <f t="shared" si="1"/>
        <v>5187.2666666666673</v>
      </c>
    </row>
    <row r="10" spans="1:17" x14ac:dyDescent="0.3">
      <c r="A10" s="279"/>
      <c r="B10" s="129" t="s">
        <v>230</v>
      </c>
      <c r="C10" s="130">
        <f t="shared" ref="C10:H10" si="2">I39</f>
        <v>269968</v>
      </c>
      <c r="D10" s="130">
        <f t="shared" si="2"/>
        <v>200499.99999999997</v>
      </c>
      <c r="E10" s="130">
        <f t="shared" si="2"/>
        <v>69468.000000000029</v>
      </c>
      <c r="F10" s="141">
        <f t="shared" si="2"/>
        <v>0.25731938600130394</v>
      </c>
      <c r="G10" s="130">
        <f t="shared" si="2"/>
        <v>22497.333333333332</v>
      </c>
      <c r="H10" s="130">
        <f t="shared" si="2"/>
        <v>5789.0000000000027</v>
      </c>
    </row>
    <row r="11" spans="1:17" ht="28.8" x14ac:dyDescent="0.3">
      <c r="A11" s="279"/>
      <c r="B11" s="129" t="s">
        <v>231</v>
      </c>
      <c r="C11" s="130">
        <f t="shared" ref="C11:H11" si="3">I46</f>
        <v>173862.39999999999</v>
      </c>
      <c r="D11" s="130">
        <f t="shared" si="3"/>
        <v>129450</v>
      </c>
      <c r="E11" s="130">
        <f t="shared" si="3"/>
        <v>44412.399999999994</v>
      </c>
      <c r="F11" s="141">
        <f t="shared" si="3"/>
        <v>0.25544568578370019</v>
      </c>
      <c r="G11" s="130">
        <f t="shared" si="3"/>
        <v>14488.533333333333</v>
      </c>
      <c r="H11" s="130">
        <f t="shared" si="3"/>
        <v>3701.0333333333328</v>
      </c>
    </row>
    <row r="12" spans="1:17" ht="28.8" x14ac:dyDescent="0.3">
      <c r="A12" s="279"/>
      <c r="B12" s="129" t="s">
        <v>232</v>
      </c>
      <c r="C12" s="130">
        <f t="shared" ref="C12:H12" si="4">I53</f>
        <v>173862.39999999999</v>
      </c>
      <c r="D12" s="130">
        <f t="shared" si="4"/>
        <v>129450</v>
      </c>
      <c r="E12" s="130">
        <f t="shared" si="4"/>
        <v>44412.399999999994</v>
      </c>
      <c r="F12" s="141">
        <f t="shared" si="4"/>
        <v>0.25544568578370019</v>
      </c>
      <c r="G12" s="130">
        <f t="shared" si="4"/>
        <v>14488.533333333333</v>
      </c>
      <c r="H12" s="130">
        <f t="shared" si="4"/>
        <v>3701.0333333333328</v>
      </c>
    </row>
    <row r="13" spans="1:17" x14ac:dyDescent="0.3">
      <c r="A13" s="279"/>
      <c r="B13" s="129"/>
      <c r="C13" s="130"/>
      <c r="D13" s="130"/>
      <c r="E13" s="130"/>
      <c r="F13" s="131"/>
      <c r="G13" s="130"/>
      <c r="H13" s="130"/>
    </row>
    <row r="14" spans="1:17" x14ac:dyDescent="0.3">
      <c r="A14" s="279"/>
      <c r="B14" s="129"/>
      <c r="C14" s="130"/>
      <c r="D14" s="130"/>
      <c r="E14" s="130"/>
      <c r="F14" s="131"/>
      <c r="G14" s="130"/>
      <c r="H14" s="130"/>
    </row>
    <row r="15" spans="1:17" x14ac:dyDescent="0.3">
      <c r="A15" s="279"/>
      <c r="B15" s="129"/>
      <c r="C15" s="130"/>
      <c r="D15" s="130"/>
      <c r="E15" s="130"/>
      <c r="F15" s="131"/>
      <c r="G15" s="130"/>
      <c r="H15" s="130"/>
    </row>
    <row r="16" spans="1:17" x14ac:dyDescent="0.3">
      <c r="A16" s="279"/>
      <c r="B16" s="129"/>
      <c r="C16" s="130"/>
      <c r="D16" s="130"/>
      <c r="E16" s="130"/>
      <c r="F16" s="131"/>
      <c r="G16" s="130"/>
      <c r="H16" s="130"/>
    </row>
    <row r="17" spans="1:23" x14ac:dyDescent="0.3">
      <c r="A17" s="279"/>
      <c r="B17" s="132" t="s">
        <v>64</v>
      </c>
      <c r="C17" s="133">
        <f>SUM(C8:C13)</f>
        <v>1099687.2</v>
      </c>
      <c r="D17" s="133">
        <f>SUM(D8:D13)</f>
        <v>816899.99999999988</v>
      </c>
      <c r="E17" s="133">
        <f>SUM(E8:E13)</f>
        <v>282787.20000000007</v>
      </c>
      <c r="F17" s="135">
        <f>E17/C17</f>
        <v>0.25715239751813068</v>
      </c>
      <c r="G17" s="133">
        <f>SUM(G8:G13)</f>
        <v>91640.599999999977</v>
      </c>
      <c r="H17" s="133">
        <f>SUM(H8:H13)</f>
        <v>23565.600000000002</v>
      </c>
    </row>
    <row r="18" spans="1:23" ht="14.4" customHeight="1" x14ac:dyDescent="0.3">
      <c r="E18" s="61"/>
    </row>
    <row r="20" spans="1:23" ht="21" x14ac:dyDescent="0.4">
      <c r="B20" s="49" t="s">
        <v>228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1"/>
    </row>
    <row r="21" spans="1:23" ht="43.2" x14ac:dyDescent="0.3">
      <c r="B21" s="33" t="s">
        <v>1</v>
      </c>
      <c r="C21" s="34" t="s">
        <v>3</v>
      </c>
      <c r="D21" s="34" t="s">
        <v>2</v>
      </c>
      <c r="E21" s="34" t="s">
        <v>4</v>
      </c>
      <c r="F21" s="34" t="s">
        <v>6</v>
      </c>
      <c r="G21" s="34" t="s">
        <v>5</v>
      </c>
      <c r="H21" s="34"/>
      <c r="I21" s="34" t="s">
        <v>19</v>
      </c>
      <c r="J21" s="34" t="s">
        <v>20</v>
      </c>
      <c r="K21" s="34" t="s">
        <v>21</v>
      </c>
      <c r="L21" s="35" t="s">
        <v>22</v>
      </c>
      <c r="M21" s="34" t="s">
        <v>23</v>
      </c>
      <c r="N21" s="36" t="s">
        <v>24</v>
      </c>
    </row>
    <row r="22" spans="1:23" x14ac:dyDescent="0.3">
      <c r="B22" s="55">
        <v>0.13</v>
      </c>
      <c r="C22" s="59">
        <v>0.1</v>
      </c>
      <c r="D22" s="53">
        <v>0.12</v>
      </c>
      <c r="E22" s="53">
        <v>0.1</v>
      </c>
      <c r="F22" s="53">
        <v>0.25</v>
      </c>
      <c r="G22" s="54">
        <v>1880</v>
      </c>
      <c r="H22" s="37"/>
      <c r="I22" s="56">
        <v>128.19</v>
      </c>
      <c r="J22" s="29">
        <f>F25</f>
        <v>88.696808510638292</v>
      </c>
      <c r="K22" s="29">
        <f>I22 - J22</f>
        <v>39.493191489361706</v>
      </c>
      <c r="L22" s="29">
        <f>1000 / (G22 / 12)</f>
        <v>6.3829787234042561</v>
      </c>
      <c r="M22" s="54" t="s">
        <v>87</v>
      </c>
      <c r="N22" s="38">
        <f>_xlfn.IFS(M22 = "Yes",K22 - L22,M22 = "No",K22)</f>
        <v>33.110212765957449</v>
      </c>
    </row>
    <row r="23" spans="1:23" x14ac:dyDescent="0.3">
      <c r="B23" s="39"/>
      <c r="C23" s="40"/>
      <c r="D23" s="40"/>
      <c r="E23" s="40"/>
      <c r="F23" s="40"/>
      <c r="G23" s="40"/>
      <c r="H23" s="40"/>
      <c r="I23" s="65"/>
      <c r="J23" s="40"/>
      <c r="K23" s="40"/>
      <c r="L23" s="40"/>
      <c r="M23" s="40"/>
      <c r="N23" s="41"/>
    </row>
    <row r="24" spans="1:23" ht="43.2" x14ac:dyDescent="0.3">
      <c r="B24" s="33" t="s">
        <v>84</v>
      </c>
      <c r="C24" s="34" t="s">
        <v>11</v>
      </c>
      <c r="D24" s="34" t="s">
        <v>12</v>
      </c>
      <c r="E24" s="34" t="s">
        <v>13</v>
      </c>
      <c r="F24" s="34" t="s">
        <v>14</v>
      </c>
      <c r="G24" s="34" t="s">
        <v>15</v>
      </c>
      <c r="H24" s="34"/>
      <c r="I24" s="34" t="s">
        <v>26</v>
      </c>
      <c r="J24" s="34" t="s">
        <v>27</v>
      </c>
      <c r="K24" s="34" t="s">
        <v>28</v>
      </c>
      <c r="L24" s="30" t="s">
        <v>29</v>
      </c>
      <c r="M24" s="34" t="s">
        <v>30</v>
      </c>
      <c r="N24" s="36" t="s">
        <v>31</v>
      </c>
    </row>
    <row r="25" spans="1:23" x14ac:dyDescent="0.3">
      <c r="B25" s="52">
        <v>115000</v>
      </c>
      <c r="C25" s="42">
        <f>B25 / $G22</f>
        <v>61.170212765957444</v>
      </c>
      <c r="D25" s="43">
        <f>SUM($B22,$C22,$D22,$E22)</f>
        <v>0.44999999999999996</v>
      </c>
      <c r="E25" s="42">
        <f>(B25 * D25) / $G22</f>
        <v>27.526595744680847</v>
      </c>
      <c r="F25" s="42">
        <f>C25 + E25</f>
        <v>88.696808510638292</v>
      </c>
      <c r="G25" s="42">
        <f>F25 * (1+$F22)</f>
        <v>110.87101063829786</v>
      </c>
      <c r="H25" s="44"/>
      <c r="I25" s="45">
        <f>G22 * I22</f>
        <v>240997.19999999998</v>
      </c>
      <c r="J25" s="45">
        <f>_xlfn.IFS(M22 = "Yes",G22 * (J22 + L22),M22 &lt;&gt; "Yes",G22 * (J22))</f>
        <v>178749.99999999997</v>
      </c>
      <c r="K25" s="45">
        <f>I25 - J25</f>
        <v>62247.200000000012</v>
      </c>
      <c r="L25" s="46">
        <f>K25 / I25</f>
        <v>0.25829013781072979</v>
      </c>
      <c r="M25" s="45">
        <f>I25 / 12</f>
        <v>20083.099999999999</v>
      </c>
      <c r="N25" s="47">
        <f>K25 / 12</f>
        <v>5187.2666666666673</v>
      </c>
      <c r="W25" s="64"/>
    </row>
    <row r="26" spans="1:23" x14ac:dyDescent="0.3">
      <c r="W26" s="64"/>
    </row>
    <row r="27" spans="1:23" ht="21" x14ac:dyDescent="0.4">
      <c r="B27" s="49" t="s">
        <v>229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1"/>
      <c r="W27" s="64"/>
    </row>
    <row r="28" spans="1:23" ht="43.2" x14ac:dyDescent="0.3">
      <c r="B28" s="33" t="s">
        <v>1</v>
      </c>
      <c r="C28" s="34" t="s">
        <v>3</v>
      </c>
      <c r="D28" s="34" t="s">
        <v>2</v>
      </c>
      <c r="E28" s="34" t="s">
        <v>4</v>
      </c>
      <c r="F28" s="34" t="s">
        <v>6</v>
      </c>
      <c r="G28" s="34" t="s">
        <v>5</v>
      </c>
      <c r="H28" s="34"/>
      <c r="I28" s="34" t="s">
        <v>19</v>
      </c>
      <c r="J28" s="34" t="s">
        <v>20</v>
      </c>
      <c r="K28" s="34" t="s">
        <v>21</v>
      </c>
      <c r="L28" s="35" t="s">
        <v>22</v>
      </c>
      <c r="M28" s="34" t="s">
        <v>23</v>
      </c>
      <c r="N28" s="36" t="s">
        <v>24</v>
      </c>
    </row>
    <row r="29" spans="1:23" x14ac:dyDescent="0.3">
      <c r="B29" s="55">
        <v>0.13</v>
      </c>
      <c r="C29" s="53">
        <v>0.1</v>
      </c>
      <c r="D29" s="53">
        <v>0.12</v>
      </c>
      <c r="E29" s="53">
        <v>0.1</v>
      </c>
      <c r="F29" s="53">
        <v>0.25</v>
      </c>
      <c r="G29" s="140">
        <v>1880</v>
      </c>
      <c r="H29" s="121"/>
      <c r="I29" s="56">
        <v>128.19</v>
      </c>
      <c r="J29" s="118">
        <f>F32</f>
        <v>88.696808510638292</v>
      </c>
      <c r="K29" s="118">
        <f>I29 - J29</f>
        <v>39.493191489361706</v>
      </c>
      <c r="L29" s="118">
        <f>1000 / (G29 / 12)</f>
        <v>6.3829787234042561</v>
      </c>
      <c r="M29" s="115" t="s">
        <v>87</v>
      </c>
      <c r="N29" s="119">
        <f>_xlfn.IFS(M29 = "Yes",K29 - L29,M29 = "No",K29)</f>
        <v>33.110212765957449</v>
      </c>
    </row>
    <row r="30" spans="1:23" x14ac:dyDescent="0.3">
      <c r="B30" s="120"/>
      <c r="C30" s="121"/>
      <c r="D30" s="121"/>
      <c r="E30" s="121"/>
      <c r="F30" s="121"/>
      <c r="G30" s="121"/>
      <c r="H30" s="63"/>
      <c r="I30" s="121"/>
      <c r="J30" s="121"/>
      <c r="K30" s="121"/>
      <c r="L30" s="121"/>
      <c r="M30" s="121"/>
      <c r="N30" s="122"/>
    </row>
    <row r="31" spans="1:23" ht="43.2" x14ac:dyDescent="0.3">
      <c r="B31" s="123" t="s">
        <v>84</v>
      </c>
      <c r="C31" s="124" t="s">
        <v>11</v>
      </c>
      <c r="D31" s="124" t="s">
        <v>12</v>
      </c>
      <c r="E31" s="124" t="s">
        <v>13</v>
      </c>
      <c r="F31" s="124" t="s">
        <v>14</v>
      </c>
      <c r="G31" s="124" t="s">
        <v>15</v>
      </c>
      <c r="H31" s="124"/>
      <c r="I31" s="124" t="s">
        <v>26</v>
      </c>
      <c r="J31" s="124" t="s">
        <v>27</v>
      </c>
      <c r="K31" s="124" t="s">
        <v>28</v>
      </c>
      <c r="L31" s="125" t="s">
        <v>29</v>
      </c>
      <c r="M31" s="124" t="s">
        <v>30</v>
      </c>
      <c r="N31" s="126" t="s">
        <v>31</v>
      </c>
    </row>
    <row r="32" spans="1:23" x14ac:dyDescent="0.3">
      <c r="B32" s="52">
        <v>115000</v>
      </c>
      <c r="C32" s="42">
        <f>B32 / $G29</f>
        <v>61.170212765957444</v>
      </c>
      <c r="D32" s="157">
        <f>SUM($B29,$C29,$D29,$E29)</f>
        <v>0.44999999999999996</v>
      </c>
      <c r="E32" s="42">
        <f>(B32 * D32) / $G29</f>
        <v>27.526595744680847</v>
      </c>
      <c r="F32" s="42">
        <f>C32 + E32</f>
        <v>88.696808510638292</v>
      </c>
      <c r="G32" s="42">
        <f>F32 * (1+$F29)</f>
        <v>110.87101063829786</v>
      </c>
      <c r="H32" s="127"/>
      <c r="I32" s="45">
        <f>G29 * I29</f>
        <v>240997.19999999998</v>
      </c>
      <c r="J32" s="45">
        <f>_xlfn.IFS(M29 = "Yes",G29 * (J29 + L29),M29 &lt;&gt; "Yes",G29 * (J29))</f>
        <v>178749.99999999997</v>
      </c>
      <c r="K32" s="45">
        <f>I32 - J32</f>
        <v>62247.200000000012</v>
      </c>
      <c r="L32" s="46">
        <f>K32 / I32</f>
        <v>0.25829013781072979</v>
      </c>
      <c r="M32" s="45">
        <f>I32 / 12</f>
        <v>20083.099999999999</v>
      </c>
      <c r="N32" s="47">
        <f>K32 / 12</f>
        <v>5187.2666666666673</v>
      </c>
    </row>
    <row r="34" spans="2:14" ht="21" x14ac:dyDescent="0.4">
      <c r="B34" s="49" t="s">
        <v>230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1"/>
    </row>
    <row r="35" spans="2:14" ht="43.2" x14ac:dyDescent="0.3">
      <c r="B35" s="33" t="s">
        <v>1</v>
      </c>
      <c r="C35" s="34" t="s">
        <v>3</v>
      </c>
      <c r="D35" s="34" t="s">
        <v>2</v>
      </c>
      <c r="E35" s="34" t="s">
        <v>4</v>
      </c>
      <c r="F35" s="34" t="s">
        <v>6</v>
      </c>
      <c r="G35" s="34" t="s">
        <v>5</v>
      </c>
      <c r="H35" s="34"/>
      <c r="I35" s="34" t="s">
        <v>19</v>
      </c>
      <c r="J35" s="34" t="s">
        <v>20</v>
      </c>
      <c r="K35" s="34" t="s">
        <v>21</v>
      </c>
      <c r="L35" s="35" t="s">
        <v>22</v>
      </c>
      <c r="M35" s="34" t="s">
        <v>23</v>
      </c>
      <c r="N35" s="36" t="s">
        <v>24</v>
      </c>
    </row>
    <row r="36" spans="2:14" x14ac:dyDescent="0.3">
      <c r="B36" s="55">
        <v>0.13</v>
      </c>
      <c r="C36" s="53">
        <v>0.1</v>
      </c>
      <c r="D36" s="53">
        <v>0.12</v>
      </c>
      <c r="E36" s="53">
        <v>0.1</v>
      </c>
      <c r="F36" s="53">
        <v>0.25</v>
      </c>
      <c r="G36" s="115">
        <v>1880</v>
      </c>
      <c r="H36" s="121"/>
      <c r="I36" s="56">
        <v>143.6</v>
      </c>
      <c r="J36" s="118">
        <f>F39</f>
        <v>100.2659574468085</v>
      </c>
      <c r="K36" s="118">
        <f>I36 - J36</f>
        <v>43.334042553191495</v>
      </c>
      <c r="L36" s="118">
        <f>1000 / (G36 / 12)</f>
        <v>6.3829787234042561</v>
      </c>
      <c r="M36" s="115" t="s">
        <v>87</v>
      </c>
      <c r="N36" s="119">
        <f>_xlfn.IFS(M36 = "Yes",K36 - L36,M36 = "No",K36)</f>
        <v>36.951063829787238</v>
      </c>
    </row>
    <row r="37" spans="2:14" x14ac:dyDescent="0.3">
      <c r="B37" s="120"/>
      <c r="C37" s="121"/>
      <c r="D37" s="121"/>
      <c r="E37" s="121"/>
      <c r="F37" s="121"/>
      <c r="G37" s="121"/>
      <c r="I37" s="121"/>
      <c r="J37" s="121"/>
      <c r="K37" s="121"/>
      <c r="L37" s="121"/>
      <c r="M37" s="121"/>
      <c r="N37" s="122"/>
    </row>
    <row r="38" spans="2:14" ht="43.2" x14ac:dyDescent="0.3">
      <c r="B38" s="123" t="s">
        <v>84</v>
      </c>
      <c r="C38" s="124" t="s">
        <v>11</v>
      </c>
      <c r="D38" s="124" t="s">
        <v>12</v>
      </c>
      <c r="E38" s="124" t="s">
        <v>13</v>
      </c>
      <c r="F38" s="124" t="s">
        <v>14</v>
      </c>
      <c r="G38" s="124" t="s">
        <v>15</v>
      </c>
      <c r="H38" s="124"/>
      <c r="I38" s="124" t="s">
        <v>26</v>
      </c>
      <c r="J38" s="124" t="s">
        <v>27</v>
      </c>
      <c r="K38" s="124" t="s">
        <v>28</v>
      </c>
      <c r="L38" s="125" t="s">
        <v>29</v>
      </c>
      <c r="M38" s="124" t="s">
        <v>30</v>
      </c>
      <c r="N38" s="126" t="s">
        <v>31</v>
      </c>
    </row>
    <row r="39" spans="2:14" x14ac:dyDescent="0.3">
      <c r="B39" s="52">
        <v>130000</v>
      </c>
      <c r="C39" s="45">
        <f>B39 / $G36</f>
        <v>69.148936170212764</v>
      </c>
      <c r="D39" s="45">
        <f>SUM($B36,$C36,$D36,$E36)</f>
        <v>0.44999999999999996</v>
      </c>
      <c r="E39" s="45">
        <f>(B39 * D39) / $G36</f>
        <v>31.117021276595739</v>
      </c>
      <c r="F39" s="45">
        <f>C39 + E39</f>
        <v>100.2659574468085</v>
      </c>
      <c r="G39" s="45">
        <f>F39 * (1+$F36)</f>
        <v>125.33244680851062</v>
      </c>
      <c r="H39" s="127"/>
      <c r="I39" s="45">
        <f>G36 * I36</f>
        <v>269968</v>
      </c>
      <c r="J39" s="45">
        <f>_xlfn.IFS(M36 = "Yes",G36 * (J36 + L36),M36 &lt;&gt; "Yes",G36 * (J36))</f>
        <v>200499.99999999997</v>
      </c>
      <c r="K39" s="45">
        <f>I39 - J39</f>
        <v>69468.000000000029</v>
      </c>
      <c r="L39" s="46">
        <f>K39 / I39</f>
        <v>0.25731938600130394</v>
      </c>
      <c r="M39" s="45">
        <f>I39 / 12</f>
        <v>22497.333333333332</v>
      </c>
      <c r="N39" s="47">
        <f>K39 / 12</f>
        <v>5789.0000000000027</v>
      </c>
    </row>
    <row r="41" spans="2:14" ht="21" x14ac:dyDescent="0.4">
      <c r="B41" s="49" t="s">
        <v>231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1"/>
    </row>
    <row r="42" spans="2:14" ht="43.2" x14ac:dyDescent="0.3">
      <c r="B42" s="33" t="s">
        <v>1</v>
      </c>
      <c r="C42" s="34" t="s">
        <v>3</v>
      </c>
      <c r="D42" s="34" t="s">
        <v>2</v>
      </c>
      <c r="E42" s="34" t="s">
        <v>4</v>
      </c>
      <c r="F42" s="34" t="s">
        <v>6</v>
      </c>
      <c r="G42" s="34" t="s">
        <v>5</v>
      </c>
      <c r="H42" s="34"/>
      <c r="I42" s="34" t="s">
        <v>19</v>
      </c>
      <c r="J42" s="34" t="s">
        <v>20</v>
      </c>
      <c r="K42" s="34" t="s">
        <v>21</v>
      </c>
      <c r="L42" s="35" t="s">
        <v>22</v>
      </c>
      <c r="M42" s="34" t="s">
        <v>23</v>
      </c>
      <c r="N42" s="36" t="s">
        <v>24</v>
      </c>
    </row>
    <row r="43" spans="2:14" x14ac:dyDescent="0.3">
      <c r="B43" s="55">
        <v>0.13</v>
      </c>
      <c r="C43" s="53">
        <v>0.1</v>
      </c>
      <c r="D43" s="53">
        <v>0.12</v>
      </c>
      <c r="E43" s="53">
        <v>0.1</v>
      </c>
      <c r="F43" s="53">
        <v>0.25</v>
      </c>
      <c r="G43" s="115">
        <v>1880</v>
      </c>
      <c r="H43" s="121"/>
      <c r="I43" s="56">
        <v>92.48</v>
      </c>
      <c r="J43" s="118">
        <f>F46</f>
        <v>62.473404255319153</v>
      </c>
      <c r="K43" s="118">
        <f>I43 - J43</f>
        <v>30.006595744680851</v>
      </c>
      <c r="L43" s="118">
        <f>1000 / (G43 / 12)</f>
        <v>6.3829787234042561</v>
      </c>
      <c r="M43" s="115" t="s">
        <v>87</v>
      </c>
      <c r="N43" s="119">
        <f>_xlfn.IFS(M43 = "Yes",K43 - L43,M43 = "No",K43)</f>
        <v>23.623617021276594</v>
      </c>
    </row>
    <row r="44" spans="2:14" x14ac:dyDescent="0.3">
      <c r="B44" s="120"/>
      <c r="C44" s="121"/>
      <c r="D44" s="121"/>
      <c r="E44" s="121"/>
      <c r="F44" s="121"/>
      <c r="G44" s="121"/>
      <c r="I44" s="121"/>
      <c r="J44" s="121"/>
      <c r="K44" s="121"/>
      <c r="L44" s="121"/>
      <c r="M44" s="121"/>
      <c r="N44" s="122"/>
    </row>
    <row r="45" spans="2:14" ht="43.2" x14ac:dyDescent="0.3">
      <c r="B45" s="123" t="s">
        <v>84</v>
      </c>
      <c r="C45" s="124" t="s">
        <v>11</v>
      </c>
      <c r="D45" s="124" t="s">
        <v>12</v>
      </c>
      <c r="E45" s="124" t="s">
        <v>13</v>
      </c>
      <c r="F45" s="124" t="s">
        <v>14</v>
      </c>
      <c r="G45" s="124" t="s">
        <v>15</v>
      </c>
      <c r="H45" s="124"/>
      <c r="I45" s="124" t="s">
        <v>26</v>
      </c>
      <c r="J45" s="124" t="s">
        <v>27</v>
      </c>
      <c r="K45" s="124" t="s">
        <v>28</v>
      </c>
      <c r="L45" s="125" t="s">
        <v>29</v>
      </c>
      <c r="M45" s="124" t="s">
        <v>30</v>
      </c>
      <c r="N45" s="126" t="s">
        <v>31</v>
      </c>
    </row>
    <row r="46" spans="2:14" x14ac:dyDescent="0.3">
      <c r="B46" s="52">
        <v>81000</v>
      </c>
      <c r="C46" s="45">
        <f>B46 / $G43</f>
        <v>43.085106382978722</v>
      </c>
      <c r="D46" s="45">
        <f>SUM($B43,$C43,$D43,$E43)</f>
        <v>0.44999999999999996</v>
      </c>
      <c r="E46" s="45">
        <f>(B46 * D46) / $G43</f>
        <v>19.388297872340427</v>
      </c>
      <c r="F46" s="45">
        <f>C46 + E46</f>
        <v>62.473404255319153</v>
      </c>
      <c r="G46" s="45">
        <f>F46 * (1+$F43)</f>
        <v>78.091755319148945</v>
      </c>
      <c r="H46" s="127"/>
      <c r="I46" s="45">
        <f>G43 * I43</f>
        <v>173862.39999999999</v>
      </c>
      <c r="J46" s="45">
        <f>_xlfn.IFS(M43 = "Yes",G43 * (J43 + L43),M43 &lt;&gt; "Yes",G43 * (J43))</f>
        <v>129450</v>
      </c>
      <c r="K46" s="45">
        <f>I46 - J46</f>
        <v>44412.399999999994</v>
      </c>
      <c r="L46" s="46">
        <f>K46 / I46</f>
        <v>0.25544568578370019</v>
      </c>
      <c r="M46" s="45">
        <f>I46 / 12</f>
        <v>14488.533333333333</v>
      </c>
      <c r="N46" s="47">
        <f>K46 / 12</f>
        <v>3701.0333333333328</v>
      </c>
    </row>
    <row r="48" spans="2:14" ht="21" x14ac:dyDescent="0.4">
      <c r="B48" s="49" t="s">
        <v>232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1"/>
    </row>
    <row r="49" spans="2:14" ht="43.2" x14ac:dyDescent="0.3">
      <c r="B49" s="33" t="s">
        <v>1</v>
      </c>
      <c r="C49" s="34" t="s">
        <v>3</v>
      </c>
      <c r="D49" s="34" t="s">
        <v>2</v>
      </c>
      <c r="E49" s="34" t="s">
        <v>4</v>
      </c>
      <c r="F49" s="34" t="s">
        <v>6</v>
      </c>
      <c r="G49" s="34" t="s">
        <v>5</v>
      </c>
      <c r="H49" s="34"/>
      <c r="I49" s="34" t="s">
        <v>19</v>
      </c>
      <c r="J49" s="34" t="s">
        <v>20</v>
      </c>
      <c r="K49" s="34" t="s">
        <v>21</v>
      </c>
      <c r="L49" s="35" t="s">
        <v>22</v>
      </c>
      <c r="M49" s="34" t="s">
        <v>23</v>
      </c>
      <c r="N49" s="36" t="s">
        <v>24</v>
      </c>
    </row>
    <row r="50" spans="2:14" x14ac:dyDescent="0.3">
      <c r="B50" s="55">
        <v>0.13</v>
      </c>
      <c r="C50" s="53">
        <v>0.1</v>
      </c>
      <c r="D50" s="53">
        <v>0.12</v>
      </c>
      <c r="E50" s="53">
        <v>0.1</v>
      </c>
      <c r="F50" s="53">
        <v>0.25</v>
      </c>
      <c r="G50" s="115">
        <v>1880</v>
      </c>
      <c r="H50" s="121"/>
      <c r="I50" s="56">
        <v>92.48</v>
      </c>
      <c r="J50" s="118">
        <f>F53</f>
        <v>62.473404255319153</v>
      </c>
      <c r="K50" s="118">
        <f>I50 - J50</f>
        <v>30.006595744680851</v>
      </c>
      <c r="L50" s="118">
        <f>1000 / (G50 / 12)</f>
        <v>6.3829787234042561</v>
      </c>
      <c r="M50" s="115" t="s">
        <v>87</v>
      </c>
      <c r="N50" s="119">
        <f>_xlfn.IFS(M50 = "Yes",K50 - L50,M50 = "No",K50)</f>
        <v>23.623617021276594</v>
      </c>
    </row>
    <row r="51" spans="2:14" x14ac:dyDescent="0.3">
      <c r="B51" s="120"/>
      <c r="C51" s="121"/>
      <c r="D51" s="121"/>
      <c r="E51" s="121"/>
      <c r="F51" s="121"/>
      <c r="G51" s="121"/>
      <c r="I51" s="121"/>
      <c r="J51" s="121"/>
      <c r="K51" s="121"/>
      <c r="L51" s="121"/>
      <c r="M51" s="121"/>
      <c r="N51" s="122"/>
    </row>
    <row r="52" spans="2:14" ht="43.2" x14ac:dyDescent="0.3">
      <c r="B52" s="123" t="s">
        <v>84</v>
      </c>
      <c r="C52" s="124" t="s">
        <v>11</v>
      </c>
      <c r="D52" s="124" t="s">
        <v>12</v>
      </c>
      <c r="E52" s="124" t="s">
        <v>13</v>
      </c>
      <c r="F52" s="124" t="s">
        <v>14</v>
      </c>
      <c r="G52" s="124" t="s">
        <v>15</v>
      </c>
      <c r="H52" s="124"/>
      <c r="I52" s="124" t="s">
        <v>26</v>
      </c>
      <c r="J52" s="124" t="s">
        <v>27</v>
      </c>
      <c r="K52" s="124" t="s">
        <v>28</v>
      </c>
      <c r="L52" s="125" t="s">
        <v>29</v>
      </c>
      <c r="M52" s="124" t="s">
        <v>30</v>
      </c>
      <c r="N52" s="126" t="s">
        <v>31</v>
      </c>
    </row>
    <row r="53" spans="2:14" x14ac:dyDescent="0.3">
      <c r="B53" s="52">
        <v>81000</v>
      </c>
      <c r="C53" s="45">
        <f>B53 / $G50</f>
        <v>43.085106382978722</v>
      </c>
      <c r="D53" s="45">
        <f>SUM($B50,$C50,$D50,$E50)</f>
        <v>0.44999999999999996</v>
      </c>
      <c r="E53" s="45">
        <f>(B53 * D53) / $G50</f>
        <v>19.388297872340427</v>
      </c>
      <c r="F53" s="45">
        <f>C53 + E53</f>
        <v>62.473404255319153</v>
      </c>
      <c r="G53" s="45">
        <f>F53 * (1+$F50)</f>
        <v>78.091755319148945</v>
      </c>
      <c r="H53" s="127"/>
      <c r="I53" s="45">
        <f>G50 * I50</f>
        <v>173862.39999999999</v>
      </c>
      <c r="J53" s="45">
        <f>_xlfn.IFS(M50 = "Yes",G50 * (J50 + L50),M50 &lt;&gt; "Yes",G50 * (J50))</f>
        <v>129450</v>
      </c>
      <c r="K53" s="45">
        <f>I53 - J53</f>
        <v>44412.399999999994</v>
      </c>
      <c r="L53" s="46">
        <f>K53 / I53</f>
        <v>0.25544568578370019</v>
      </c>
      <c r="M53" s="45">
        <f>I53 / 12</f>
        <v>14488.533333333333</v>
      </c>
      <c r="N53" s="47">
        <f>K53 / 12</f>
        <v>3701.0333333333328</v>
      </c>
    </row>
  </sheetData>
  <mergeCells count="2">
    <mergeCell ref="A4:A6"/>
    <mergeCell ref="A8:A1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2870-F3A2-4FB3-8868-2370F5DBD7D8}">
  <dimension ref="B3:AB21"/>
  <sheetViews>
    <sheetView topLeftCell="A2" zoomScale="85" zoomScaleNormal="85" workbookViewId="0">
      <selection activeCell="B3" sqref="B3"/>
    </sheetView>
  </sheetViews>
  <sheetFormatPr defaultColWidth="8.88671875" defaultRowHeight="14.4" x14ac:dyDescent="0.3"/>
  <cols>
    <col min="2" max="2" width="18.109375" customWidth="1"/>
    <col min="3" max="14" width="11.6640625" customWidth="1"/>
    <col min="16" max="16" width="18" customWidth="1"/>
    <col min="17" max="21" width="11.6640625" customWidth="1"/>
    <col min="23" max="28" width="10.88671875" customWidth="1"/>
  </cols>
  <sheetData>
    <row r="3" spans="2:28" ht="28.8" x14ac:dyDescent="0.55000000000000004">
      <c r="B3" s="67" t="s">
        <v>233</v>
      </c>
    </row>
    <row r="5" spans="2:28" x14ac:dyDescent="0.3">
      <c r="B5" s="66" t="s">
        <v>234</v>
      </c>
      <c r="P5" s="66" t="s">
        <v>235</v>
      </c>
    </row>
    <row r="6" spans="2:28" x14ac:dyDescent="0.3">
      <c r="B6" s="267" t="s">
        <v>236</v>
      </c>
      <c r="C6" s="63">
        <f>SUM(I14,I21)/12</f>
        <v>52853.066666666673</v>
      </c>
      <c r="P6" s="267" t="s">
        <v>236</v>
      </c>
      <c r="Q6" s="63" t="e">
        <f>SUM(W14,W21,#REF!)/12</f>
        <v>#REF!</v>
      </c>
    </row>
    <row r="7" spans="2:28" x14ac:dyDescent="0.3">
      <c r="B7" s="267" t="s">
        <v>237</v>
      </c>
      <c r="C7" s="63">
        <f>SUM(N14,N21)</f>
        <v>20790.566666666673</v>
      </c>
      <c r="D7" s="61"/>
      <c r="P7" s="267" t="s">
        <v>237</v>
      </c>
      <c r="Q7" s="63" t="e">
        <f>SUM(AB14,AB21,#REF!)</f>
        <v>#REF!</v>
      </c>
    </row>
    <row r="8" spans="2:28" x14ac:dyDescent="0.3">
      <c r="B8" s="267" t="s">
        <v>238</v>
      </c>
      <c r="C8" s="68">
        <f>C7/C6</f>
        <v>0.39336538024914364</v>
      </c>
      <c r="P8" s="267" t="s">
        <v>238</v>
      </c>
      <c r="Q8" s="68" t="e">
        <f>Q7/Q6</f>
        <v>#REF!</v>
      </c>
    </row>
    <row r="9" spans="2:28" ht="21" x14ac:dyDescent="0.4">
      <c r="B9" s="275" t="s">
        <v>239</v>
      </c>
      <c r="C9" s="276"/>
      <c r="D9" s="276"/>
      <c r="E9" s="276"/>
      <c r="F9" s="50" t="s">
        <v>53</v>
      </c>
      <c r="G9" s="50" t="s">
        <v>53</v>
      </c>
      <c r="H9" s="50" t="s">
        <v>53</v>
      </c>
      <c r="I9" s="50" t="s">
        <v>53</v>
      </c>
      <c r="J9" s="50" t="s">
        <v>53</v>
      </c>
      <c r="K9" s="50" t="s">
        <v>53</v>
      </c>
      <c r="L9" s="50" t="s">
        <v>53</v>
      </c>
      <c r="M9" s="50" t="s">
        <v>53</v>
      </c>
      <c r="N9" s="51" t="s">
        <v>53</v>
      </c>
      <c r="P9" s="275" t="s">
        <v>239</v>
      </c>
      <c r="Q9" s="276"/>
      <c r="R9" s="276"/>
      <c r="S9" s="276"/>
      <c r="T9" s="50" t="s">
        <v>53</v>
      </c>
      <c r="U9" s="50" t="s">
        <v>53</v>
      </c>
      <c r="V9" s="50" t="s">
        <v>53</v>
      </c>
      <c r="W9" s="50" t="s">
        <v>53</v>
      </c>
      <c r="X9" s="50" t="s">
        <v>53</v>
      </c>
      <c r="Y9" s="50" t="s">
        <v>53</v>
      </c>
      <c r="Z9" s="50" t="s">
        <v>53</v>
      </c>
      <c r="AA9" s="50" t="s">
        <v>53</v>
      </c>
      <c r="AB9" s="51" t="s">
        <v>53</v>
      </c>
    </row>
    <row r="10" spans="2:28" ht="72" x14ac:dyDescent="0.3">
      <c r="B10" s="33" t="s">
        <v>1</v>
      </c>
      <c r="C10" s="34" t="s">
        <v>3</v>
      </c>
      <c r="D10" s="34" t="s">
        <v>2</v>
      </c>
      <c r="E10" s="34" t="s">
        <v>4</v>
      </c>
      <c r="F10" s="34" t="s">
        <v>6</v>
      </c>
      <c r="G10" s="34" t="s">
        <v>5</v>
      </c>
      <c r="H10" s="34"/>
      <c r="I10" s="34" t="s">
        <v>19</v>
      </c>
      <c r="J10" s="34" t="s">
        <v>20</v>
      </c>
      <c r="K10" s="34" t="s">
        <v>21</v>
      </c>
      <c r="L10" s="35" t="s">
        <v>22</v>
      </c>
      <c r="M10" s="34" t="s">
        <v>23</v>
      </c>
      <c r="N10" s="36" t="s">
        <v>24</v>
      </c>
      <c r="P10" s="33" t="s">
        <v>1</v>
      </c>
      <c r="Q10" s="34" t="s">
        <v>3</v>
      </c>
      <c r="R10" s="34" t="s">
        <v>2</v>
      </c>
      <c r="S10" s="34" t="s">
        <v>4</v>
      </c>
      <c r="T10" s="34" t="s">
        <v>6</v>
      </c>
      <c r="U10" s="34" t="s">
        <v>5</v>
      </c>
      <c r="V10" s="34"/>
      <c r="W10" s="34" t="s">
        <v>19</v>
      </c>
      <c r="X10" s="34" t="s">
        <v>20</v>
      </c>
      <c r="Y10" s="34" t="s">
        <v>21</v>
      </c>
      <c r="Z10" s="35" t="s">
        <v>22</v>
      </c>
      <c r="AA10" s="34" t="s">
        <v>23</v>
      </c>
      <c r="AB10" s="36" t="s">
        <v>24</v>
      </c>
    </row>
    <row r="11" spans="2:28" x14ac:dyDescent="0.3">
      <c r="B11" s="55">
        <v>0.13</v>
      </c>
      <c r="C11" s="59">
        <v>0.1</v>
      </c>
      <c r="D11" s="53">
        <v>0.12</v>
      </c>
      <c r="E11" s="53">
        <v>0.1</v>
      </c>
      <c r="F11" s="53">
        <v>0.3</v>
      </c>
      <c r="G11" s="54">
        <v>1880</v>
      </c>
      <c r="H11" s="37"/>
      <c r="I11" s="56">
        <v>168.68</v>
      </c>
      <c r="J11" s="29">
        <f>F14</f>
        <v>119.54787234042553</v>
      </c>
      <c r="K11" s="29">
        <f>I11 - J11</f>
        <v>49.132127659574479</v>
      </c>
      <c r="L11" s="29">
        <f>1000 / (G11 / 12)</f>
        <v>6.3829787234042561</v>
      </c>
      <c r="M11" s="54" t="s">
        <v>32</v>
      </c>
      <c r="N11" s="38">
        <f>_xlfn.IFS(M11 = "Yes",K11 - L11,M11 = "No",K11)</f>
        <v>49.132127659574479</v>
      </c>
      <c r="P11" s="55">
        <v>0.13</v>
      </c>
      <c r="Q11" s="59">
        <v>0.05</v>
      </c>
      <c r="R11" s="53">
        <v>0.12</v>
      </c>
      <c r="S11" s="53">
        <v>0.1</v>
      </c>
      <c r="T11" s="53">
        <v>0.25</v>
      </c>
      <c r="U11" s="54">
        <v>1880</v>
      </c>
      <c r="V11" s="37"/>
      <c r="W11" s="56">
        <v>169</v>
      </c>
      <c r="X11" s="29">
        <f>T14</f>
        <v>111.83510638297872</v>
      </c>
      <c r="Y11" s="29">
        <f>W11 - X11</f>
        <v>57.164893617021278</v>
      </c>
      <c r="Z11" s="29">
        <f>1000 / (U11 / 12)</f>
        <v>6.3829787234042561</v>
      </c>
      <c r="AA11" s="54" t="s">
        <v>32</v>
      </c>
      <c r="AB11" s="38">
        <f>_xlfn.IFS(AA11 = "Yes",Y11 - Z11,AA11 = "No",Y11)</f>
        <v>57.164893617021278</v>
      </c>
    </row>
    <row r="12" spans="2:28" x14ac:dyDescent="0.3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1"/>
      <c r="P12" s="39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1"/>
    </row>
    <row r="13" spans="2:28" ht="57.6" x14ac:dyDescent="0.3">
      <c r="B13" s="33" t="s">
        <v>10</v>
      </c>
      <c r="C13" s="34" t="s">
        <v>11</v>
      </c>
      <c r="D13" s="34" t="s">
        <v>12</v>
      </c>
      <c r="E13" s="34" t="s">
        <v>13</v>
      </c>
      <c r="F13" s="34" t="s">
        <v>14</v>
      </c>
      <c r="G13" s="34" t="s">
        <v>15</v>
      </c>
      <c r="H13" s="34"/>
      <c r="I13" s="34" t="s">
        <v>26</v>
      </c>
      <c r="J13" s="34" t="s">
        <v>27</v>
      </c>
      <c r="K13" s="34" t="s">
        <v>28</v>
      </c>
      <c r="L13" s="30" t="s">
        <v>29</v>
      </c>
      <c r="M13" s="34" t="s">
        <v>30</v>
      </c>
      <c r="N13" s="36" t="s">
        <v>31</v>
      </c>
      <c r="P13" s="33" t="s">
        <v>10</v>
      </c>
      <c r="Q13" s="34" t="s">
        <v>11</v>
      </c>
      <c r="R13" s="34" t="s">
        <v>12</v>
      </c>
      <c r="S13" s="34" t="s">
        <v>13</v>
      </c>
      <c r="T13" s="34" t="s">
        <v>14</v>
      </c>
      <c r="U13" s="34" t="s">
        <v>15</v>
      </c>
      <c r="V13" s="34"/>
      <c r="W13" s="34" t="s">
        <v>26</v>
      </c>
      <c r="X13" s="34" t="s">
        <v>27</v>
      </c>
      <c r="Y13" s="34" t="s">
        <v>28</v>
      </c>
      <c r="Z13" s="30" t="s">
        <v>29</v>
      </c>
      <c r="AA13" s="34" t="s">
        <v>30</v>
      </c>
      <c r="AB13" s="36" t="s">
        <v>31</v>
      </c>
    </row>
    <row r="14" spans="2:28" x14ac:dyDescent="0.3">
      <c r="B14" s="52">
        <v>155000</v>
      </c>
      <c r="C14" s="42">
        <f>B14 / $G11</f>
        <v>82.446808510638292</v>
      </c>
      <c r="D14" s="43">
        <f>SUM($B11,$C11,$D11,$E11)</f>
        <v>0.44999999999999996</v>
      </c>
      <c r="E14" s="42">
        <f>(B14 * D14) / $G11</f>
        <v>37.101063829787236</v>
      </c>
      <c r="F14" s="42">
        <f>C14 + E14</f>
        <v>119.54787234042553</v>
      </c>
      <c r="G14" s="42">
        <f>F14 * (1+$F11)</f>
        <v>155.41223404255319</v>
      </c>
      <c r="H14" s="44"/>
      <c r="I14" s="45">
        <f>G11 * I11</f>
        <v>317118.40000000002</v>
      </c>
      <c r="J14" s="45">
        <f>_xlfn.IFS(M11 = "Yes",G11 * (J11 + L11),M11 &lt;&gt; "Yes",G11 * (J11))</f>
        <v>224750</v>
      </c>
      <c r="K14" s="45">
        <f>I14 - J14</f>
        <v>92368.400000000023</v>
      </c>
      <c r="L14" s="46">
        <f>K14 / J14</f>
        <v>0.41098286985539501</v>
      </c>
      <c r="M14" s="45">
        <f>I14 / 12</f>
        <v>26426.533333333336</v>
      </c>
      <c r="N14" s="47">
        <f>K14 / 12</f>
        <v>7697.3666666666686</v>
      </c>
      <c r="P14" s="52">
        <v>145000</v>
      </c>
      <c r="Q14" s="42">
        <f>P14 / $G11</f>
        <v>77.127659574468083</v>
      </c>
      <c r="R14" s="43">
        <f>SUM($B11,$C11,$D11,$E11)</f>
        <v>0.44999999999999996</v>
      </c>
      <c r="S14" s="42">
        <f>(P14 * R14) / $G11</f>
        <v>34.707446808510632</v>
      </c>
      <c r="T14" s="42">
        <f>Q14 + S14</f>
        <v>111.83510638297872</v>
      </c>
      <c r="U14" s="42">
        <f>T14 * (1+$F11)</f>
        <v>145.38563829787233</v>
      </c>
      <c r="V14" s="44"/>
      <c r="W14" s="45">
        <f>U11 * W11</f>
        <v>317720</v>
      </c>
      <c r="X14" s="45">
        <f>_xlfn.IFS(AA11 = "Yes",U11 * (X11 + Z11),AA11 &lt;&gt; "Yes",U11 * (X11))</f>
        <v>210250</v>
      </c>
      <c r="Y14" s="45">
        <f>W14 - X14</f>
        <v>107470</v>
      </c>
      <c r="Z14" s="46">
        <f>Y14 / X14</f>
        <v>0.51115338882283001</v>
      </c>
      <c r="AA14" s="45">
        <f>W14 / 12</f>
        <v>26476.666666666668</v>
      </c>
      <c r="AB14" s="47">
        <f>Y14 / 12</f>
        <v>8955.8333333333339</v>
      </c>
    </row>
    <row r="16" spans="2:28" ht="21" x14ac:dyDescent="0.4">
      <c r="B16" s="275" t="s">
        <v>240</v>
      </c>
      <c r="C16" s="276"/>
      <c r="D16" s="276"/>
      <c r="E16" s="276"/>
      <c r="F16" s="50" t="s">
        <v>53</v>
      </c>
      <c r="G16" s="50" t="s">
        <v>53</v>
      </c>
      <c r="H16" s="50" t="s">
        <v>53</v>
      </c>
      <c r="I16" s="50" t="s">
        <v>53</v>
      </c>
      <c r="J16" s="50" t="s">
        <v>53</v>
      </c>
      <c r="K16" s="50" t="s">
        <v>53</v>
      </c>
      <c r="L16" s="50" t="s">
        <v>53</v>
      </c>
      <c r="M16" s="50" t="s">
        <v>53</v>
      </c>
      <c r="N16" s="51" t="s">
        <v>53</v>
      </c>
      <c r="P16" s="275" t="s">
        <v>240</v>
      </c>
      <c r="Q16" s="276"/>
      <c r="R16" s="276"/>
      <c r="S16" s="276"/>
      <c r="T16" s="50" t="s">
        <v>53</v>
      </c>
      <c r="U16" s="50" t="s">
        <v>53</v>
      </c>
      <c r="V16" s="50" t="s">
        <v>53</v>
      </c>
      <c r="W16" s="50" t="s">
        <v>53</v>
      </c>
      <c r="X16" s="50" t="s">
        <v>53</v>
      </c>
      <c r="Y16" s="50" t="s">
        <v>53</v>
      </c>
      <c r="Z16" s="50" t="s">
        <v>53</v>
      </c>
      <c r="AA16" s="50" t="s">
        <v>53</v>
      </c>
      <c r="AB16" s="51" t="s">
        <v>53</v>
      </c>
    </row>
    <row r="17" spans="2:28" ht="66.75" customHeight="1" x14ac:dyDescent="0.3">
      <c r="B17" s="33" t="s">
        <v>1</v>
      </c>
      <c r="C17" s="34" t="s">
        <v>3</v>
      </c>
      <c r="D17" s="34" t="s">
        <v>2</v>
      </c>
      <c r="E17" s="34" t="s">
        <v>4</v>
      </c>
      <c r="F17" s="34" t="s">
        <v>6</v>
      </c>
      <c r="G17" s="34" t="s">
        <v>5</v>
      </c>
      <c r="H17" s="34"/>
      <c r="I17" s="34" t="s">
        <v>19</v>
      </c>
      <c r="J17" s="34" t="s">
        <v>20</v>
      </c>
      <c r="K17" s="34" t="s">
        <v>21</v>
      </c>
      <c r="L17" s="35" t="s">
        <v>22</v>
      </c>
      <c r="M17" s="34" t="s">
        <v>23</v>
      </c>
      <c r="N17" s="36" t="s">
        <v>24</v>
      </c>
      <c r="P17" s="33" t="s">
        <v>1</v>
      </c>
      <c r="Q17" s="34" t="s">
        <v>3</v>
      </c>
      <c r="R17" s="34" t="s">
        <v>2</v>
      </c>
      <c r="S17" s="34" t="s">
        <v>4</v>
      </c>
      <c r="T17" s="34" t="s">
        <v>6</v>
      </c>
      <c r="U17" s="34" t="s">
        <v>5</v>
      </c>
      <c r="V17" s="34"/>
      <c r="W17" s="34" t="s">
        <v>19</v>
      </c>
      <c r="X17" s="34" t="s">
        <v>20</v>
      </c>
      <c r="Y17" s="34" t="s">
        <v>21</v>
      </c>
      <c r="Z17" s="35" t="s">
        <v>22</v>
      </c>
      <c r="AA17" s="34" t="s">
        <v>23</v>
      </c>
      <c r="AB17" s="36" t="s">
        <v>24</v>
      </c>
    </row>
    <row r="18" spans="2:28" x14ac:dyDescent="0.3">
      <c r="B18" s="55">
        <v>0.13</v>
      </c>
      <c r="C18" s="59">
        <v>0.25</v>
      </c>
      <c r="D18" s="53">
        <v>0.12</v>
      </c>
      <c r="E18" s="53">
        <v>0.1</v>
      </c>
      <c r="F18" s="53">
        <v>0.25</v>
      </c>
      <c r="G18" s="54">
        <v>1880</v>
      </c>
      <c r="H18" s="37"/>
      <c r="I18" s="56">
        <v>168.68</v>
      </c>
      <c r="J18" s="29">
        <f>F21</f>
        <v>85.106382978723403</v>
      </c>
      <c r="K18" s="29">
        <f>I18 - J18</f>
        <v>83.573617021276604</v>
      </c>
      <c r="L18" s="29">
        <f>1000 / (G18 / 12)</f>
        <v>6.3829787234042561</v>
      </c>
      <c r="M18" s="54" t="s">
        <v>32</v>
      </c>
      <c r="N18" s="38">
        <f>_xlfn.IFS(M18 = "Yes",K18 - L18,M18 = "No",K18)</f>
        <v>83.573617021276604</v>
      </c>
      <c r="P18" s="55">
        <v>0.13</v>
      </c>
      <c r="Q18" s="59">
        <v>0.25</v>
      </c>
      <c r="R18" s="53">
        <v>0.12</v>
      </c>
      <c r="S18" s="53">
        <v>0.1</v>
      </c>
      <c r="T18" s="53">
        <v>0.25</v>
      </c>
      <c r="U18" s="54">
        <v>1880</v>
      </c>
      <c r="V18" s="37"/>
      <c r="W18" s="56">
        <v>230</v>
      </c>
      <c r="X18" s="29">
        <f>T21</f>
        <v>106.38297872340425</v>
      </c>
      <c r="Y18" s="29">
        <f>W18 - X18</f>
        <v>123.61702127659575</v>
      </c>
      <c r="Z18" s="29">
        <f>1000 / (U18 / 12)</f>
        <v>6.3829787234042561</v>
      </c>
      <c r="AA18" s="54" t="s">
        <v>32</v>
      </c>
      <c r="AB18" s="38">
        <f>_xlfn.IFS(AA18 = "Yes",Y18 - Z18,AA18 = "No",Y18)</f>
        <v>123.61702127659575</v>
      </c>
    </row>
    <row r="19" spans="2:28" x14ac:dyDescent="0.3">
      <c r="B19" s="39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1"/>
      <c r="P19" s="39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1"/>
    </row>
    <row r="20" spans="2:28" ht="57.6" x14ac:dyDescent="0.3">
      <c r="B20" s="33" t="s">
        <v>10</v>
      </c>
      <c r="C20" s="34" t="s">
        <v>11</v>
      </c>
      <c r="D20" s="34" t="s">
        <v>12</v>
      </c>
      <c r="E20" s="34" t="s">
        <v>13</v>
      </c>
      <c r="F20" s="34" t="s">
        <v>14</v>
      </c>
      <c r="G20" s="34" t="s">
        <v>15</v>
      </c>
      <c r="H20" s="34"/>
      <c r="I20" s="34" t="s">
        <v>26</v>
      </c>
      <c r="J20" s="34" t="s">
        <v>27</v>
      </c>
      <c r="K20" s="34" t="s">
        <v>28</v>
      </c>
      <c r="L20" s="30" t="s">
        <v>29</v>
      </c>
      <c r="M20" s="34" t="s">
        <v>30</v>
      </c>
      <c r="N20" s="36" t="s">
        <v>31</v>
      </c>
      <c r="P20" s="33" t="s">
        <v>10</v>
      </c>
      <c r="Q20" s="34" t="s">
        <v>11</v>
      </c>
      <c r="R20" s="34" t="s">
        <v>12</v>
      </c>
      <c r="S20" s="34" t="s">
        <v>13</v>
      </c>
      <c r="T20" s="34" t="s">
        <v>14</v>
      </c>
      <c r="U20" s="34" t="s">
        <v>15</v>
      </c>
      <c r="V20" s="34"/>
      <c r="W20" s="34" t="s">
        <v>26</v>
      </c>
      <c r="X20" s="34" t="s">
        <v>27</v>
      </c>
      <c r="Y20" s="34" t="s">
        <v>28</v>
      </c>
      <c r="Z20" s="30" t="s">
        <v>29</v>
      </c>
      <c r="AA20" s="34" t="s">
        <v>30</v>
      </c>
      <c r="AB20" s="36" t="s">
        <v>31</v>
      </c>
    </row>
    <row r="21" spans="2:28" x14ac:dyDescent="0.3">
      <c r="B21" s="52">
        <v>100000</v>
      </c>
      <c r="C21" s="42">
        <f>B21 / $G18</f>
        <v>53.191489361702125</v>
      </c>
      <c r="D21" s="43">
        <f>SUM($B18,$C18,$D18,$E18)</f>
        <v>0.6</v>
      </c>
      <c r="E21" s="42">
        <f>(B21 * D21) / $G18</f>
        <v>31.914893617021278</v>
      </c>
      <c r="F21" s="42">
        <f>C21 + E21</f>
        <v>85.106382978723403</v>
      </c>
      <c r="G21" s="42">
        <f>F21 * (1+$F18)</f>
        <v>106.38297872340425</v>
      </c>
      <c r="H21" s="44"/>
      <c r="I21" s="45">
        <f>G18 * I18</f>
        <v>317118.40000000002</v>
      </c>
      <c r="J21" s="45">
        <f>_xlfn.IFS(M18 = "Yes",G18 * (J18 + L18),M18 &lt;&gt; "Yes",G18 * (J18))</f>
        <v>160000</v>
      </c>
      <c r="K21" s="45">
        <f>I21 - J21</f>
        <v>157118.40000000002</v>
      </c>
      <c r="L21" s="46">
        <f>K21 / J21</f>
        <v>0.98199000000000014</v>
      </c>
      <c r="M21" s="45">
        <f>I21 / 12</f>
        <v>26426.533333333336</v>
      </c>
      <c r="N21" s="47">
        <f>K21 / 12</f>
        <v>13093.200000000003</v>
      </c>
      <c r="P21" s="52">
        <v>125000</v>
      </c>
      <c r="Q21" s="42">
        <f>P21 / $G18</f>
        <v>66.489361702127653</v>
      </c>
      <c r="R21" s="43">
        <f>SUM($B18,$C18,$D18,$E18)</f>
        <v>0.6</v>
      </c>
      <c r="S21" s="42">
        <f>(P21 * R21) / $G18</f>
        <v>39.893617021276597</v>
      </c>
      <c r="T21" s="42">
        <f>Q21 + S21</f>
        <v>106.38297872340425</v>
      </c>
      <c r="U21" s="42">
        <f>T21 * (1+$F18)</f>
        <v>132.97872340425531</v>
      </c>
      <c r="V21" s="44"/>
      <c r="W21" s="45">
        <f>U18 * W18</f>
        <v>432400</v>
      </c>
      <c r="X21" s="45">
        <f>_xlfn.IFS(AA18 = "Yes",U18 * (X18 + Z18),AA18 &lt;&gt; "Yes",U18 * (X18))</f>
        <v>200000</v>
      </c>
      <c r="Y21" s="45">
        <f>W21 - X21</f>
        <v>232400</v>
      </c>
      <c r="Z21" s="46">
        <f>Y21 / X21</f>
        <v>1.1619999999999999</v>
      </c>
      <c r="AA21" s="45">
        <f>W21 / 12</f>
        <v>36033.333333333336</v>
      </c>
      <c r="AB21" s="47">
        <f>Y21 / 12</f>
        <v>19366.666666666668</v>
      </c>
    </row>
  </sheetData>
  <mergeCells count="4">
    <mergeCell ref="B9:E9"/>
    <mergeCell ref="B16:E16"/>
    <mergeCell ref="P9:S9"/>
    <mergeCell ref="P16:S16"/>
  </mergeCells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A767-293D-4520-A8DC-6469F2ED186D}">
  <dimension ref="A2:AC63"/>
  <sheetViews>
    <sheetView zoomScaleNormal="100" workbookViewId="0">
      <selection activeCell="G46" sqref="G46"/>
    </sheetView>
  </sheetViews>
  <sheetFormatPr defaultColWidth="8.88671875" defaultRowHeight="14.4" x14ac:dyDescent="0.3"/>
  <cols>
    <col min="1" max="1" width="16.109375" customWidth="1"/>
    <col min="2" max="2" width="18.109375" customWidth="1"/>
    <col min="3" max="3" width="11.6640625" customWidth="1"/>
    <col min="4" max="4" width="18.109375" bestFit="1" customWidth="1"/>
    <col min="5" max="5" width="15.33203125" bestFit="1" customWidth="1"/>
    <col min="6" max="6" width="15.88671875" bestFit="1" customWidth="1"/>
    <col min="7" max="7" width="11.6640625" customWidth="1"/>
    <col min="8" max="8" width="9.44140625" customWidth="1"/>
    <col min="9" max="9" width="11.33203125" bestFit="1" customWidth="1"/>
    <col min="10" max="10" width="15.88671875" bestFit="1" customWidth="1"/>
    <col min="11" max="14" width="11.6640625" customWidth="1"/>
    <col min="15" max="15" width="9.109375"/>
    <col min="17" max="17" width="15" customWidth="1"/>
    <col min="18" max="18" width="13.33203125" customWidth="1"/>
    <col min="19" max="19" width="11.6640625" bestFit="1" customWidth="1"/>
    <col min="20" max="20" width="12" customWidth="1"/>
    <col min="21" max="22" width="10.33203125" customWidth="1"/>
    <col min="23" max="23" width="8.109375" bestFit="1" customWidth="1"/>
    <col min="24" max="29" width="12.88671875" customWidth="1"/>
  </cols>
  <sheetData>
    <row r="2" spans="2:17" ht="28.8" x14ac:dyDescent="0.55000000000000004">
      <c r="B2" s="67" t="s">
        <v>241</v>
      </c>
    </row>
    <row r="4" spans="2:17" x14ac:dyDescent="0.3">
      <c r="B4" s="267" t="s">
        <v>242</v>
      </c>
    </row>
    <row r="5" spans="2:17" ht="57.6" x14ac:dyDescent="0.3">
      <c r="B5" s="18" t="s">
        <v>1</v>
      </c>
      <c r="C5" s="18" t="s">
        <v>3</v>
      </c>
      <c r="D5" s="18" t="s">
        <v>2</v>
      </c>
      <c r="E5" s="18" t="s">
        <v>4</v>
      </c>
      <c r="F5" s="18" t="s">
        <v>6</v>
      </c>
      <c r="G5" s="18" t="s">
        <v>5</v>
      </c>
      <c r="I5" s="18" t="s">
        <v>19</v>
      </c>
      <c r="J5" s="18" t="s">
        <v>20</v>
      </c>
      <c r="K5" s="18" t="s">
        <v>21</v>
      </c>
      <c r="L5" s="18" t="s">
        <v>22</v>
      </c>
      <c r="M5" s="18" t="s">
        <v>23</v>
      </c>
      <c r="N5" s="18" t="s">
        <v>24</v>
      </c>
    </row>
    <row r="6" spans="2:17" x14ac:dyDescent="0.3">
      <c r="B6" s="4">
        <v>0</v>
      </c>
      <c r="C6" s="4">
        <v>0</v>
      </c>
      <c r="D6" s="4">
        <v>0</v>
      </c>
      <c r="E6" s="4">
        <v>0.05</v>
      </c>
      <c r="F6" s="4">
        <v>0.25</v>
      </c>
      <c r="G6" s="7">
        <v>940</v>
      </c>
      <c r="H6" s="73"/>
      <c r="I6" s="19">
        <v>120</v>
      </c>
      <c r="J6" s="57">
        <f>F9</f>
        <v>89.25</v>
      </c>
      <c r="K6" s="20">
        <f>I6 - J6</f>
        <v>30.75</v>
      </c>
      <c r="L6" s="20">
        <f>1000 / (G6 / 12)</f>
        <v>12.765957446808512</v>
      </c>
      <c r="M6" s="21" t="s">
        <v>32</v>
      </c>
      <c r="N6" s="20" cm="1">
        <f t="array" ref="N6">_xlfn.IFS(M6 = "Yes",K6 - L6,M6 = "No",K6)</f>
        <v>30.75</v>
      </c>
    </row>
    <row r="8" spans="2:17" ht="57.6" x14ac:dyDescent="0.3">
      <c r="B8" s="18" t="s">
        <v>11</v>
      </c>
      <c r="C8" s="18" t="s">
        <v>33</v>
      </c>
      <c r="D8" s="18" t="s">
        <v>12</v>
      </c>
      <c r="E8" s="18" t="s">
        <v>13</v>
      </c>
      <c r="F8" s="18" t="s">
        <v>14</v>
      </c>
      <c r="G8" s="18" t="s">
        <v>15</v>
      </c>
      <c r="I8" s="18" t="s">
        <v>26</v>
      </c>
      <c r="J8" s="18" t="s">
        <v>27</v>
      </c>
      <c r="K8" s="18" t="s">
        <v>28</v>
      </c>
      <c r="L8" s="22" t="s">
        <v>29</v>
      </c>
      <c r="M8" s="18" t="s">
        <v>30</v>
      </c>
      <c r="N8" s="18" t="s">
        <v>31</v>
      </c>
    </row>
    <row r="9" spans="2:17" x14ac:dyDescent="0.3">
      <c r="B9" s="19">
        <v>85</v>
      </c>
      <c r="C9" s="16">
        <f>B9 * $G6</f>
        <v>79900</v>
      </c>
      <c r="D9" s="3">
        <f>SUM($B6,$C6,$D6,$E6)</f>
        <v>0.05</v>
      </c>
      <c r="E9" s="16">
        <f>(C9 * D9) / $G6</f>
        <v>4.25</v>
      </c>
      <c r="F9" s="20">
        <f>B9 +E9</f>
        <v>89.25</v>
      </c>
      <c r="G9" s="24">
        <f>F9 * (1+F6)</f>
        <v>111.5625</v>
      </c>
      <c r="H9" s="73"/>
      <c r="I9" s="16">
        <f>G6 * I6</f>
        <v>112800</v>
      </c>
      <c r="J9" s="16" cm="1">
        <f t="array" ref="J9">_xlfn.IFS(M6 = "Yes",G6 * (J6 + L6),M6 &lt;&gt; "Yes",G6 * (J6))</f>
        <v>83895</v>
      </c>
      <c r="K9" s="16">
        <f>I9 - J9</f>
        <v>28905</v>
      </c>
      <c r="L9" s="26">
        <f>K9 / J9</f>
        <v>0.34453781512605042</v>
      </c>
      <c r="M9" s="16">
        <f>I9 / 12</f>
        <v>9400</v>
      </c>
      <c r="N9" s="16">
        <f>K9 / 12</f>
        <v>2408.75</v>
      </c>
    </row>
    <row r="10" spans="2:17" x14ac:dyDescent="0.3">
      <c r="Q10" s="74"/>
    </row>
    <row r="11" spans="2:17" x14ac:dyDescent="0.3">
      <c r="B11" s="267" t="s">
        <v>243</v>
      </c>
    </row>
    <row r="12" spans="2:17" ht="57.6" x14ac:dyDescent="0.3">
      <c r="B12" s="18" t="s">
        <v>1</v>
      </c>
      <c r="C12" s="18" t="s">
        <v>3</v>
      </c>
      <c r="D12" s="18" t="s">
        <v>2</v>
      </c>
      <c r="E12" s="18" t="s">
        <v>4</v>
      </c>
      <c r="F12" s="18" t="s">
        <v>6</v>
      </c>
      <c r="G12" s="18" t="s">
        <v>5</v>
      </c>
      <c r="I12" s="18" t="s">
        <v>19</v>
      </c>
      <c r="J12" s="18" t="s">
        <v>20</v>
      </c>
      <c r="K12" s="18" t="s">
        <v>21</v>
      </c>
      <c r="L12" s="18" t="s">
        <v>22</v>
      </c>
      <c r="M12" s="18" t="s">
        <v>23</v>
      </c>
      <c r="N12" s="18" t="s">
        <v>24</v>
      </c>
    </row>
    <row r="13" spans="2:17" x14ac:dyDescent="0.3">
      <c r="B13" s="4">
        <v>0</v>
      </c>
      <c r="C13" s="4">
        <v>0</v>
      </c>
      <c r="D13" s="4">
        <v>0</v>
      </c>
      <c r="E13" s="4">
        <v>0.05</v>
      </c>
      <c r="F13" s="4">
        <v>0.25</v>
      </c>
      <c r="G13" s="7">
        <v>940</v>
      </c>
      <c r="I13" s="19">
        <v>102</v>
      </c>
      <c r="J13" s="57">
        <f>F16</f>
        <v>75.599999999999994</v>
      </c>
      <c r="K13" s="20">
        <f>I13 - J13</f>
        <v>26.400000000000006</v>
      </c>
      <c r="L13" s="20">
        <f>1000 / (G13 / 12)</f>
        <v>12.765957446808512</v>
      </c>
      <c r="M13" s="21" t="s">
        <v>32</v>
      </c>
      <c r="N13" s="20" cm="1">
        <f t="array" ref="N13">_xlfn.IFS(M13 = "Yes",K13 - L13,M13 = "No",K13)</f>
        <v>26.400000000000006</v>
      </c>
    </row>
    <row r="15" spans="2:17" ht="57.6" x14ac:dyDescent="0.3">
      <c r="B15" s="18" t="s">
        <v>11</v>
      </c>
      <c r="C15" s="18" t="s">
        <v>33</v>
      </c>
      <c r="D15" s="18" t="s">
        <v>12</v>
      </c>
      <c r="E15" s="18" t="s">
        <v>13</v>
      </c>
      <c r="F15" s="18" t="s">
        <v>14</v>
      </c>
      <c r="G15" s="18" t="s">
        <v>15</v>
      </c>
      <c r="I15" s="18" t="s">
        <v>26</v>
      </c>
      <c r="J15" s="18" t="s">
        <v>27</v>
      </c>
      <c r="K15" s="18" t="s">
        <v>28</v>
      </c>
      <c r="L15" s="22" t="s">
        <v>29</v>
      </c>
      <c r="M15" s="18" t="s">
        <v>30</v>
      </c>
      <c r="N15" s="18" t="s">
        <v>31</v>
      </c>
    </row>
    <row r="16" spans="2:17" x14ac:dyDescent="0.3">
      <c r="B16" s="19">
        <v>72</v>
      </c>
      <c r="C16" s="16">
        <f>B16 * $G13</f>
        <v>67680</v>
      </c>
      <c r="D16" s="3">
        <f>SUM($B13,$C13,$D13,$E13)</f>
        <v>0.05</v>
      </c>
      <c r="E16" s="16">
        <f>(C16 * D16) / $G13</f>
        <v>3.6</v>
      </c>
      <c r="F16" s="20">
        <f>B16 +E16</f>
        <v>75.599999999999994</v>
      </c>
      <c r="G16" s="24">
        <f>F16 * (1+F13)</f>
        <v>94.5</v>
      </c>
      <c r="I16" s="16">
        <f>G13 * I13</f>
        <v>95880</v>
      </c>
      <c r="J16" s="16" cm="1">
        <f t="array" ref="J16">_xlfn.IFS(M13 = "Yes",G13 * (J13 + L13),M13 &lt;&gt; "Yes",G13 * (J13))</f>
        <v>71064</v>
      </c>
      <c r="K16" s="16">
        <f>I16 - J16</f>
        <v>24816</v>
      </c>
      <c r="L16" s="26">
        <f>K16 / J16</f>
        <v>0.34920634920634919</v>
      </c>
      <c r="M16" s="16">
        <f>I16 / 12</f>
        <v>7990</v>
      </c>
      <c r="N16" s="16">
        <f>K16 / 12</f>
        <v>2068</v>
      </c>
    </row>
    <row r="20" spans="1:14" ht="21" x14ac:dyDescent="0.4">
      <c r="B20" s="275" t="s">
        <v>244</v>
      </c>
      <c r="C20" s="276"/>
      <c r="D20" s="276"/>
      <c r="E20" s="276"/>
      <c r="F20" s="50" t="s">
        <v>53</v>
      </c>
      <c r="G20" s="50" t="s">
        <v>53</v>
      </c>
      <c r="H20" s="50" t="s">
        <v>53</v>
      </c>
      <c r="I20" s="50" t="s">
        <v>53</v>
      </c>
      <c r="J20" s="50" t="s">
        <v>53</v>
      </c>
      <c r="K20" s="50" t="s">
        <v>53</v>
      </c>
      <c r="L20" s="50" t="s">
        <v>53</v>
      </c>
      <c r="M20" s="50" t="s">
        <v>53</v>
      </c>
      <c r="N20" s="51" t="s">
        <v>53</v>
      </c>
    </row>
    <row r="21" spans="1:14" ht="57.6" x14ac:dyDescent="0.3">
      <c r="B21" s="33" t="s">
        <v>1</v>
      </c>
      <c r="C21" s="34" t="s">
        <v>3</v>
      </c>
      <c r="D21" s="34" t="s">
        <v>2</v>
      </c>
      <c r="E21" s="34" t="s">
        <v>4</v>
      </c>
      <c r="F21" s="34" t="s">
        <v>6</v>
      </c>
      <c r="G21" s="34" t="s">
        <v>5</v>
      </c>
      <c r="H21" s="34"/>
      <c r="I21" s="34" t="s">
        <v>19</v>
      </c>
      <c r="J21" s="34" t="s">
        <v>20</v>
      </c>
      <c r="K21" s="34" t="s">
        <v>21</v>
      </c>
      <c r="L21" s="35" t="s">
        <v>22</v>
      </c>
      <c r="M21" s="34" t="s">
        <v>23</v>
      </c>
      <c r="N21" s="36" t="s">
        <v>24</v>
      </c>
    </row>
    <row r="22" spans="1:14" x14ac:dyDescent="0.3">
      <c r="B22" s="55">
        <v>0.13</v>
      </c>
      <c r="C22" s="59">
        <v>0.1</v>
      </c>
      <c r="D22" s="53">
        <v>0.12</v>
      </c>
      <c r="E22" s="53">
        <v>0.1</v>
      </c>
      <c r="F22" s="53">
        <v>0.25</v>
      </c>
      <c r="G22" s="54">
        <v>1880</v>
      </c>
      <c r="H22" s="37"/>
      <c r="I22" s="56">
        <v>104.64</v>
      </c>
      <c r="J22" s="29">
        <f>F25</f>
        <v>72.114361702127653</v>
      </c>
      <c r="K22" s="29">
        <f>I22 - J22</f>
        <v>32.525638297872348</v>
      </c>
      <c r="L22" s="29">
        <f>1000 / (G22 / 12)</f>
        <v>6.3829787234042561</v>
      </c>
      <c r="M22" s="54" t="s">
        <v>87</v>
      </c>
      <c r="N22" s="38">
        <f>_xlfn.IFS(M22 = "Yes",K22 - L22,M22 = "No",K22)</f>
        <v>26.142659574468091</v>
      </c>
    </row>
    <row r="23" spans="1:14" x14ac:dyDescent="0.3">
      <c r="B23" s="39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1"/>
    </row>
    <row r="24" spans="1:14" ht="57.6" x14ac:dyDescent="0.3">
      <c r="B24" s="33" t="s">
        <v>10</v>
      </c>
      <c r="C24" s="34" t="s">
        <v>11</v>
      </c>
      <c r="D24" s="34" t="s">
        <v>12</v>
      </c>
      <c r="E24" s="34" t="s">
        <v>13</v>
      </c>
      <c r="F24" s="34" t="s">
        <v>14</v>
      </c>
      <c r="G24" s="34" t="s">
        <v>15</v>
      </c>
      <c r="H24" s="34"/>
      <c r="I24" s="34" t="s">
        <v>26</v>
      </c>
      <c r="J24" s="34" t="s">
        <v>27</v>
      </c>
      <c r="K24" s="34" t="s">
        <v>28</v>
      </c>
      <c r="L24" s="30" t="s">
        <v>29</v>
      </c>
      <c r="M24" s="34" t="s">
        <v>30</v>
      </c>
      <c r="N24" s="36" t="s">
        <v>31</v>
      </c>
    </row>
    <row r="25" spans="1:14" x14ac:dyDescent="0.3">
      <c r="B25" s="52">
        <v>93500</v>
      </c>
      <c r="C25" s="42">
        <f>B25 / $G22</f>
        <v>49.734042553191486</v>
      </c>
      <c r="D25" s="43">
        <f>SUM($B22,$C22,$D22,$E22)</f>
        <v>0.44999999999999996</v>
      </c>
      <c r="E25" s="42">
        <f>(B25 * D25) / $G22</f>
        <v>22.380319148936167</v>
      </c>
      <c r="F25" s="42">
        <f>C25 + E25</f>
        <v>72.114361702127653</v>
      </c>
      <c r="G25" s="42">
        <f>F25 * (1+$F22)</f>
        <v>90.142952127659569</v>
      </c>
      <c r="H25" s="44"/>
      <c r="I25" s="45">
        <f>G22 * I22</f>
        <v>196723.20000000001</v>
      </c>
      <c r="J25" s="45">
        <f>_xlfn.IFS(M22 = "Yes",G22 * (J22 + L22),M22 &lt;&gt; "Yes",G22 * (J22))</f>
        <v>147574.99999999997</v>
      </c>
      <c r="K25" s="45">
        <f>I25 - J25</f>
        <v>49148.200000000041</v>
      </c>
      <c r="L25" s="46">
        <f>K25 / I25</f>
        <v>0.24983428492419826</v>
      </c>
      <c r="M25" s="45">
        <f>I25 / 12</f>
        <v>16393.600000000002</v>
      </c>
      <c r="N25" s="47">
        <f>K25 / 12</f>
        <v>4095.6833333333366</v>
      </c>
    </row>
    <row r="28" spans="1:14" x14ac:dyDescent="0.3">
      <c r="B28" s="267" t="s">
        <v>245</v>
      </c>
    </row>
    <row r="29" spans="1:14" ht="57.6" x14ac:dyDescent="0.3">
      <c r="B29" s="18" t="s">
        <v>1</v>
      </c>
      <c r="C29" s="18" t="s">
        <v>3</v>
      </c>
      <c r="D29" s="18" t="s">
        <v>2</v>
      </c>
      <c r="E29" s="18" t="s">
        <v>4</v>
      </c>
      <c r="F29" s="18" t="s">
        <v>6</v>
      </c>
      <c r="G29" s="18" t="s">
        <v>5</v>
      </c>
      <c r="I29" s="18" t="s">
        <v>19</v>
      </c>
      <c r="J29" s="18" t="s">
        <v>20</v>
      </c>
      <c r="K29" s="18" t="s">
        <v>21</v>
      </c>
      <c r="L29" s="18" t="s">
        <v>22</v>
      </c>
      <c r="M29" s="18" t="s">
        <v>23</v>
      </c>
      <c r="N29" s="18" t="s">
        <v>24</v>
      </c>
    </row>
    <row r="30" spans="1:14" x14ac:dyDescent="0.3">
      <c r="B30" s="4">
        <v>0</v>
      </c>
      <c r="C30" s="4">
        <v>0</v>
      </c>
      <c r="D30" s="4">
        <v>0</v>
      </c>
      <c r="E30" s="4">
        <v>0.05</v>
      </c>
      <c r="F30" s="4">
        <v>0.25</v>
      </c>
      <c r="G30" s="7">
        <v>500</v>
      </c>
      <c r="I30" s="19">
        <v>165</v>
      </c>
      <c r="J30" s="57">
        <f>F33</f>
        <v>115.5</v>
      </c>
      <c r="K30" s="20">
        <f>I30 - J30</f>
        <v>49.5</v>
      </c>
      <c r="L30" s="20">
        <f>1000 / (G30 / 12)</f>
        <v>24</v>
      </c>
      <c r="M30" s="21" t="s">
        <v>32</v>
      </c>
      <c r="N30" s="20" cm="1">
        <f t="array" ref="N30">_xlfn.IFS(M30 = "Yes",K30 - L30,M30 = "No",K30)</f>
        <v>49.5</v>
      </c>
    </row>
    <row r="31" spans="1:14" x14ac:dyDescent="0.3">
      <c r="A31" s="73"/>
    </row>
    <row r="32" spans="1:14" ht="57.6" x14ac:dyDescent="0.3">
      <c r="B32" s="18" t="s">
        <v>11</v>
      </c>
      <c r="C32" s="18" t="s">
        <v>33</v>
      </c>
      <c r="D32" s="18" t="s">
        <v>12</v>
      </c>
      <c r="E32" s="18" t="s">
        <v>13</v>
      </c>
      <c r="F32" s="18" t="s">
        <v>14</v>
      </c>
      <c r="G32" s="18" t="s">
        <v>15</v>
      </c>
      <c r="I32" s="18" t="s">
        <v>26</v>
      </c>
      <c r="J32" s="18" t="s">
        <v>27</v>
      </c>
      <c r="K32" s="18" t="s">
        <v>28</v>
      </c>
      <c r="L32" s="22" t="s">
        <v>29</v>
      </c>
      <c r="M32" s="18" t="s">
        <v>30</v>
      </c>
      <c r="N32" s="18" t="s">
        <v>31</v>
      </c>
    </row>
    <row r="33" spans="1:29" x14ac:dyDescent="0.3">
      <c r="A33" s="73"/>
      <c r="B33" s="19">
        <v>110</v>
      </c>
      <c r="C33" s="16">
        <f>B33 * $G30</f>
        <v>55000</v>
      </c>
      <c r="D33" s="3">
        <f>SUM($B30,$C30,$D30,$E30)</f>
        <v>0.05</v>
      </c>
      <c r="E33" s="16">
        <f>(C33 * D33) / $G30</f>
        <v>5.5</v>
      </c>
      <c r="F33" s="20">
        <f>B33 +E33</f>
        <v>115.5</v>
      </c>
      <c r="G33" s="24">
        <f>F33 * (1+F30)</f>
        <v>144.375</v>
      </c>
      <c r="I33" s="16">
        <f>G30 * I30</f>
        <v>82500</v>
      </c>
      <c r="J33" s="16" cm="1">
        <f t="array" ref="J33">_xlfn.IFS(M30 = "Yes",G30 * (J30 + L30),M30 &lt;&gt; "Yes",G30 * (J30))</f>
        <v>57750</v>
      </c>
      <c r="K33" s="16">
        <f>I33 - J33</f>
        <v>24750</v>
      </c>
      <c r="L33" s="26">
        <f>K33 / J33</f>
        <v>0.42857142857142855</v>
      </c>
      <c r="M33" s="16">
        <f>I33 / 3</f>
        <v>27500</v>
      </c>
      <c r="N33" s="16">
        <f>K33 / 3</f>
        <v>8250</v>
      </c>
    </row>
    <row r="34" spans="1:29" x14ac:dyDescent="0.3">
      <c r="A34" s="73"/>
      <c r="F34" s="74"/>
    </row>
    <row r="35" spans="1:29" x14ac:dyDescent="0.3">
      <c r="A35" s="73"/>
    </row>
    <row r="36" spans="1:29" ht="21" x14ac:dyDescent="0.4">
      <c r="B36" s="111" t="s">
        <v>246</v>
      </c>
      <c r="Q36" s="111" t="s">
        <v>246</v>
      </c>
    </row>
    <row r="37" spans="1:29" ht="21" x14ac:dyDescent="0.4">
      <c r="B37" s="110" t="s">
        <v>247</v>
      </c>
      <c r="C37" s="91"/>
      <c r="Q37" s="110" t="s">
        <v>248</v>
      </c>
    </row>
    <row r="38" spans="1:29" x14ac:dyDescent="0.3">
      <c r="A38" s="91"/>
      <c r="B38" s="112" t="s">
        <v>249</v>
      </c>
      <c r="C38" s="95">
        <v>58000</v>
      </c>
      <c r="D38" s="91" t="s">
        <v>250</v>
      </c>
      <c r="E38" s="91"/>
      <c r="F38" s="113" t="s">
        <v>251</v>
      </c>
      <c r="G38" s="113" t="s">
        <v>69</v>
      </c>
      <c r="H38" s="113" t="s">
        <v>41</v>
      </c>
      <c r="I38" s="113" t="s">
        <v>202</v>
      </c>
      <c r="L38" s="66"/>
      <c r="M38" s="66"/>
      <c r="N38" s="66"/>
      <c r="O38" s="66"/>
      <c r="Q38" s="112" t="s">
        <v>249</v>
      </c>
      <c r="R38" s="90">
        <f>SUM(X48,X55,X62)</f>
        <v>57775</v>
      </c>
      <c r="S38" s="91" t="s">
        <v>250</v>
      </c>
      <c r="T38" s="91"/>
      <c r="U38" s="113" t="s">
        <v>251</v>
      </c>
      <c r="V38" s="113" t="s">
        <v>69</v>
      </c>
      <c r="W38" s="113" t="s">
        <v>41</v>
      </c>
      <c r="X38" s="113" t="s">
        <v>202</v>
      </c>
      <c r="AA38" s="66"/>
      <c r="AB38" s="66"/>
      <c r="AC38" s="66"/>
    </row>
    <row r="39" spans="1:29" x14ac:dyDescent="0.3">
      <c r="A39" s="91"/>
      <c r="B39" s="112" t="s">
        <v>252</v>
      </c>
      <c r="C39" s="90">
        <f>SUM(J48,J55,J62)</f>
        <v>35095</v>
      </c>
      <c r="D39" s="91"/>
      <c r="E39" s="112" t="s">
        <v>253</v>
      </c>
      <c r="F39" s="92">
        <f>G45</f>
        <v>100</v>
      </c>
      <c r="G39" s="90">
        <f>I48</f>
        <v>12500</v>
      </c>
      <c r="H39" s="90">
        <f t="shared" ref="H39:I39" si="0">J48</f>
        <v>12500</v>
      </c>
      <c r="I39" s="90">
        <f t="shared" si="0"/>
        <v>0</v>
      </c>
      <c r="J39" s="91"/>
      <c r="Q39" s="112" t="s">
        <v>252</v>
      </c>
      <c r="R39" s="90">
        <f>SUM(Y48,Y55,Y62)</f>
        <v>40090</v>
      </c>
      <c r="S39" s="91"/>
      <c r="T39" s="112" t="s">
        <v>253</v>
      </c>
      <c r="U39" s="92">
        <f>V45</f>
        <v>125</v>
      </c>
      <c r="V39" s="90">
        <f>X48</f>
        <v>19375</v>
      </c>
      <c r="W39" s="90">
        <f t="shared" ref="W39" si="1">Y48</f>
        <v>15625</v>
      </c>
      <c r="X39" s="90">
        <f t="shared" ref="X39" si="2">Z48</f>
        <v>3750</v>
      </c>
      <c r="Y39" s="91"/>
    </row>
    <row r="40" spans="1:29" x14ac:dyDescent="0.3">
      <c r="A40" s="91"/>
      <c r="B40" s="112" t="s">
        <v>254</v>
      </c>
      <c r="C40" s="90">
        <f>C38-C39</f>
        <v>22905</v>
      </c>
      <c r="D40" s="91"/>
      <c r="E40" s="112" t="s">
        <v>255</v>
      </c>
      <c r="F40" s="92">
        <f>G52</f>
        <v>220</v>
      </c>
      <c r="G40" s="90">
        <f>I55</f>
        <v>26400</v>
      </c>
      <c r="H40" s="90">
        <f t="shared" ref="H40:I40" si="3">J55</f>
        <v>20570</v>
      </c>
      <c r="I40" s="90">
        <f t="shared" si="3"/>
        <v>5830</v>
      </c>
      <c r="J40" s="91"/>
      <c r="Q40" s="112" t="s">
        <v>254</v>
      </c>
      <c r="R40" s="90">
        <f>R38-R39</f>
        <v>17685</v>
      </c>
      <c r="S40" s="91"/>
      <c r="T40" s="112" t="s">
        <v>255</v>
      </c>
      <c r="U40" s="92">
        <f>V52</f>
        <v>240</v>
      </c>
      <c r="V40" s="90">
        <f>X55</f>
        <v>30720</v>
      </c>
      <c r="W40" s="90">
        <f t="shared" ref="W40" si="4">Y55</f>
        <v>22440</v>
      </c>
      <c r="X40" s="90">
        <f t="shared" ref="X40" si="5">Z55</f>
        <v>8280</v>
      </c>
      <c r="Y40" s="91"/>
    </row>
    <row r="41" spans="1:29" x14ac:dyDescent="0.3">
      <c r="A41" s="91"/>
      <c r="B41" s="112" t="s">
        <v>256</v>
      </c>
      <c r="C41" s="90">
        <f>C40/3</f>
        <v>7635</v>
      </c>
      <c r="D41" s="91"/>
      <c r="E41" s="112" t="s">
        <v>257</v>
      </c>
      <c r="F41" s="93">
        <f>G59</f>
        <v>60</v>
      </c>
      <c r="G41" s="94">
        <f>I62</f>
        <v>7680</v>
      </c>
      <c r="H41" s="94">
        <f t="shared" ref="H41:I41" si="6">J62</f>
        <v>2025</v>
      </c>
      <c r="I41" s="94">
        <f t="shared" si="6"/>
        <v>5655</v>
      </c>
      <c r="J41" s="91"/>
      <c r="Q41" s="112" t="s">
        <v>256</v>
      </c>
      <c r="R41" s="90">
        <f>R40/3</f>
        <v>5895</v>
      </c>
      <c r="S41" s="91"/>
      <c r="T41" s="112" t="s">
        <v>257</v>
      </c>
      <c r="U41" s="93">
        <f>V59</f>
        <v>60</v>
      </c>
      <c r="V41" s="94">
        <f>X62</f>
        <v>7680</v>
      </c>
      <c r="W41" s="94">
        <f t="shared" ref="W41" si="7">Y62</f>
        <v>2025</v>
      </c>
      <c r="X41" s="94">
        <f t="shared" ref="X41" si="8">Z62</f>
        <v>5655</v>
      </c>
      <c r="Y41" s="91"/>
    </row>
    <row r="42" spans="1:29" x14ac:dyDescent="0.3">
      <c r="B42" s="91"/>
      <c r="C42" s="91"/>
      <c r="E42" s="91"/>
      <c r="F42" s="92">
        <f>SUM(F39:F41)</f>
        <v>380</v>
      </c>
      <c r="G42" s="92">
        <f t="shared" ref="G42:I42" si="9">SUM(G39:G41)</f>
        <v>46580</v>
      </c>
      <c r="H42" s="92">
        <f t="shared" si="9"/>
        <v>35095</v>
      </c>
      <c r="I42" s="92">
        <f t="shared" si="9"/>
        <v>11485</v>
      </c>
      <c r="J42" s="91"/>
      <c r="Q42" s="91"/>
      <c r="R42" s="91"/>
      <c r="T42" s="91"/>
      <c r="U42" s="92">
        <f>SUM(U39:U41)</f>
        <v>425</v>
      </c>
      <c r="V42" s="92">
        <f t="shared" ref="V42:X42" si="10">SUM(V39:V41)</f>
        <v>57775</v>
      </c>
      <c r="W42" s="92">
        <f t="shared" si="10"/>
        <v>40090</v>
      </c>
      <c r="X42" s="92">
        <f t="shared" si="10"/>
        <v>17685</v>
      </c>
      <c r="Y42" s="91"/>
    </row>
    <row r="43" spans="1:29" x14ac:dyDescent="0.3">
      <c r="B43" s="66" t="s">
        <v>253</v>
      </c>
      <c r="F43" s="91"/>
      <c r="G43" s="91"/>
      <c r="H43" s="91"/>
      <c r="I43" s="91"/>
      <c r="Q43" s="66" t="s">
        <v>253</v>
      </c>
      <c r="U43" s="91"/>
      <c r="V43" s="91"/>
      <c r="W43" s="91"/>
      <c r="X43" s="91"/>
    </row>
    <row r="44" spans="1:29" ht="57.6" x14ac:dyDescent="0.3">
      <c r="B44" s="18" t="s">
        <v>1</v>
      </c>
      <c r="C44" s="18" t="s">
        <v>3</v>
      </c>
      <c r="D44" s="18" t="s">
        <v>2</v>
      </c>
      <c r="E44" s="18" t="s">
        <v>4</v>
      </c>
      <c r="F44" s="18" t="s">
        <v>6</v>
      </c>
      <c r="G44" s="18" t="s">
        <v>5</v>
      </c>
      <c r="I44" s="18" t="s">
        <v>19</v>
      </c>
      <c r="J44" s="18" t="s">
        <v>20</v>
      </c>
      <c r="K44" s="18" t="s">
        <v>21</v>
      </c>
      <c r="L44" s="18" t="s">
        <v>22</v>
      </c>
      <c r="M44" s="18" t="s">
        <v>23</v>
      </c>
      <c r="N44" s="18" t="s">
        <v>24</v>
      </c>
      <c r="Q44" s="18" t="s">
        <v>1</v>
      </c>
      <c r="R44" s="18" t="s">
        <v>3</v>
      </c>
      <c r="S44" s="18" t="s">
        <v>2</v>
      </c>
      <c r="T44" s="18" t="s">
        <v>4</v>
      </c>
      <c r="U44" s="18" t="s">
        <v>6</v>
      </c>
      <c r="V44" s="18" t="s">
        <v>5</v>
      </c>
      <c r="X44" s="18" t="s">
        <v>19</v>
      </c>
      <c r="Y44" s="18" t="s">
        <v>20</v>
      </c>
      <c r="Z44" s="18" t="s">
        <v>21</v>
      </c>
      <c r="AA44" s="18" t="s">
        <v>22</v>
      </c>
      <c r="AB44" s="18" t="s">
        <v>23</v>
      </c>
      <c r="AC44" s="18" t="s">
        <v>24</v>
      </c>
    </row>
    <row r="45" spans="1:29" x14ac:dyDescent="0.3">
      <c r="B45" s="4">
        <v>0.03</v>
      </c>
      <c r="C45" s="4">
        <v>0</v>
      </c>
      <c r="D45" s="4">
        <v>0.12</v>
      </c>
      <c r="E45" s="4">
        <v>0.1</v>
      </c>
      <c r="F45" s="4">
        <v>0.25</v>
      </c>
      <c r="G45" s="7">
        <v>100</v>
      </c>
      <c r="H45" s="73"/>
      <c r="I45" s="19">
        <v>125</v>
      </c>
      <c r="J45" s="57">
        <f>F48</f>
        <v>125</v>
      </c>
      <c r="K45" s="20">
        <f>I45 - J45</f>
        <v>0</v>
      </c>
      <c r="L45" s="20">
        <f>1000 / (G45 / 12)</f>
        <v>119.99999999999999</v>
      </c>
      <c r="M45" s="21" t="s">
        <v>32</v>
      </c>
      <c r="N45" s="20" cm="1">
        <f t="array" ref="N45">_xlfn.IFS(M45 = "Yes",K45 - L45,M45 = "No",K45)</f>
        <v>0</v>
      </c>
      <c r="Q45" s="4">
        <v>0.03</v>
      </c>
      <c r="R45" s="4">
        <v>0</v>
      </c>
      <c r="S45" s="4">
        <v>0.12</v>
      </c>
      <c r="T45" s="4">
        <v>0.1</v>
      </c>
      <c r="U45" s="4">
        <v>0.25</v>
      </c>
      <c r="V45" s="7">
        <v>125</v>
      </c>
      <c r="W45" s="73"/>
      <c r="X45" s="19">
        <v>155</v>
      </c>
      <c r="Y45" s="57">
        <f>U48</f>
        <v>125</v>
      </c>
      <c r="Z45" s="20">
        <f>X45 - Y45</f>
        <v>30</v>
      </c>
      <c r="AA45" s="20">
        <f>1000 / (V45 / 12)</f>
        <v>96</v>
      </c>
      <c r="AB45" s="21" t="s">
        <v>32</v>
      </c>
      <c r="AC45" s="20" cm="1">
        <f t="array" ref="AC45">_xlfn.IFS(AB45 = "Yes",Z45 - AA45,AB45 = "No",Z45)</f>
        <v>30</v>
      </c>
    </row>
    <row r="47" spans="1:29" ht="57.6" x14ac:dyDescent="0.3">
      <c r="B47" s="18" t="s">
        <v>11</v>
      </c>
      <c r="C47" s="18" t="s">
        <v>258</v>
      </c>
      <c r="D47" s="18" t="s">
        <v>12</v>
      </c>
      <c r="E47" s="18" t="s">
        <v>13</v>
      </c>
      <c r="F47" s="18" t="s">
        <v>14</v>
      </c>
      <c r="G47" s="18" t="s">
        <v>15</v>
      </c>
      <c r="I47" s="18" t="s">
        <v>259</v>
      </c>
      <c r="J47" s="18" t="s">
        <v>260</v>
      </c>
      <c r="K47" s="18" t="s">
        <v>261</v>
      </c>
      <c r="L47" s="22" t="s">
        <v>262</v>
      </c>
      <c r="M47" s="18" t="s">
        <v>30</v>
      </c>
      <c r="N47" s="18" t="s">
        <v>31</v>
      </c>
      <c r="Q47" s="18" t="s">
        <v>11</v>
      </c>
      <c r="R47" s="18" t="s">
        <v>258</v>
      </c>
      <c r="S47" s="18" t="s">
        <v>12</v>
      </c>
      <c r="T47" s="18" t="s">
        <v>13</v>
      </c>
      <c r="U47" s="18" t="s">
        <v>14</v>
      </c>
      <c r="V47" s="18" t="s">
        <v>15</v>
      </c>
      <c r="X47" s="18" t="s">
        <v>259</v>
      </c>
      <c r="Y47" s="18" t="s">
        <v>260</v>
      </c>
      <c r="Z47" s="18" t="s">
        <v>261</v>
      </c>
      <c r="AA47" s="22" t="s">
        <v>262</v>
      </c>
      <c r="AB47" s="18" t="s">
        <v>30</v>
      </c>
      <c r="AC47" s="18" t="s">
        <v>31</v>
      </c>
    </row>
    <row r="48" spans="1:29" x14ac:dyDescent="0.3">
      <c r="B48" s="19">
        <v>100</v>
      </c>
      <c r="C48" s="16">
        <f>B48 * $G45</f>
        <v>10000</v>
      </c>
      <c r="D48" s="3">
        <f>SUM($B45,$C45,$D45,$E45)</f>
        <v>0.25</v>
      </c>
      <c r="E48" s="16">
        <f>(C48 * D48) / $G45</f>
        <v>25</v>
      </c>
      <c r="F48" s="20">
        <f>B48 +E48</f>
        <v>125</v>
      </c>
      <c r="G48" s="24">
        <f>F48 * (1+F45)</f>
        <v>156.25</v>
      </c>
      <c r="H48" s="73"/>
      <c r="I48" s="16">
        <f>G45 * I45</f>
        <v>12500</v>
      </c>
      <c r="J48" s="16" cm="1">
        <f t="array" ref="J48">_xlfn.IFS(M45 = "Yes",G45 * (J45 + L45),M45 &lt;&gt; "Yes",G45 * (J45))</f>
        <v>12500</v>
      </c>
      <c r="K48" s="16">
        <f>I48 - J48</f>
        <v>0</v>
      </c>
      <c r="L48" s="26">
        <f>K48 / J48</f>
        <v>0</v>
      </c>
      <c r="M48" s="16">
        <f>I48 / 3</f>
        <v>4166.666666666667</v>
      </c>
      <c r="N48" s="16">
        <f>K48 / 3</f>
        <v>0</v>
      </c>
      <c r="Q48" s="19">
        <v>100</v>
      </c>
      <c r="R48" s="16">
        <f>Q48 * $G45</f>
        <v>10000</v>
      </c>
      <c r="S48" s="3">
        <f>SUM($B45,$C45,$D45,$E45)</f>
        <v>0.25</v>
      </c>
      <c r="T48" s="16">
        <f>(R48 * S48) / $G45</f>
        <v>25</v>
      </c>
      <c r="U48" s="20">
        <f>Q48 +T48</f>
        <v>125</v>
      </c>
      <c r="V48" s="24">
        <f>U48 * (1+U45)</f>
        <v>156.25</v>
      </c>
      <c r="W48" s="73"/>
      <c r="X48" s="16">
        <f>V45 * X45</f>
        <v>19375</v>
      </c>
      <c r="Y48" s="16" cm="1">
        <f t="array" ref="Y48">_xlfn.IFS(AB45 = "Yes",V45 * (Y45 + AA45),AB45 &lt;&gt; "Yes",V45 * (Y45))</f>
        <v>15625</v>
      </c>
      <c r="Z48" s="16">
        <f>X48 - Y48</f>
        <v>3750</v>
      </c>
      <c r="AA48" s="26">
        <f>Z48 / Y48</f>
        <v>0.24</v>
      </c>
      <c r="AB48" s="16">
        <f>X48 / 3</f>
        <v>6458.333333333333</v>
      </c>
      <c r="AC48" s="16">
        <f>Z48 / 3</f>
        <v>1250</v>
      </c>
    </row>
    <row r="49" spans="2:29" x14ac:dyDescent="0.3">
      <c r="K49" s="88"/>
      <c r="Z49" s="88"/>
    </row>
    <row r="50" spans="2:29" x14ac:dyDescent="0.3">
      <c r="B50" s="66" t="s">
        <v>255</v>
      </c>
      <c r="K50" s="88"/>
      <c r="Q50" s="66" t="s">
        <v>255</v>
      </c>
      <c r="Z50" s="88"/>
    </row>
    <row r="51" spans="2:29" ht="57.6" x14ac:dyDescent="0.3">
      <c r="B51" s="18" t="s">
        <v>1</v>
      </c>
      <c r="C51" s="18" t="s">
        <v>3</v>
      </c>
      <c r="D51" s="18" t="s">
        <v>2</v>
      </c>
      <c r="E51" s="18" t="s">
        <v>4</v>
      </c>
      <c r="F51" s="18" t="s">
        <v>6</v>
      </c>
      <c r="G51" s="18" t="s">
        <v>5</v>
      </c>
      <c r="I51" s="18" t="s">
        <v>19</v>
      </c>
      <c r="J51" s="18" t="s">
        <v>20</v>
      </c>
      <c r="K51" s="18" t="s">
        <v>21</v>
      </c>
      <c r="L51" s="18" t="s">
        <v>22</v>
      </c>
      <c r="M51" s="18" t="s">
        <v>23</v>
      </c>
      <c r="N51" s="18" t="s">
        <v>24</v>
      </c>
      <c r="Q51" s="18" t="s">
        <v>1</v>
      </c>
      <c r="R51" s="18" t="s">
        <v>3</v>
      </c>
      <c r="S51" s="18" t="s">
        <v>2</v>
      </c>
      <c r="T51" s="18" t="s">
        <v>4</v>
      </c>
      <c r="U51" s="18" t="s">
        <v>6</v>
      </c>
      <c r="V51" s="18" t="s">
        <v>5</v>
      </c>
      <c r="X51" s="18" t="s">
        <v>19</v>
      </c>
      <c r="Y51" s="18" t="s">
        <v>20</v>
      </c>
      <c r="Z51" s="18" t="s">
        <v>21</v>
      </c>
      <c r="AA51" s="18" t="s">
        <v>22</v>
      </c>
      <c r="AB51" s="18" t="s">
        <v>23</v>
      </c>
      <c r="AC51" s="18" t="s">
        <v>24</v>
      </c>
    </row>
    <row r="52" spans="2:29" x14ac:dyDescent="0.3">
      <c r="B52" s="4">
        <v>0</v>
      </c>
      <c r="C52" s="4">
        <v>0</v>
      </c>
      <c r="D52" s="4">
        <v>0</v>
      </c>
      <c r="E52" s="4">
        <v>0.1</v>
      </c>
      <c r="F52" s="4">
        <v>0.25</v>
      </c>
      <c r="G52" s="7">
        <v>220</v>
      </c>
      <c r="H52" s="73"/>
      <c r="I52" s="19">
        <v>120</v>
      </c>
      <c r="J52" s="57">
        <f>F55</f>
        <v>93.5</v>
      </c>
      <c r="K52" s="20">
        <f>I52 - J52</f>
        <v>26.5</v>
      </c>
      <c r="L52" s="20">
        <f>1000 / (G52 / 12)</f>
        <v>54.545454545454547</v>
      </c>
      <c r="M52" s="21" t="s">
        <v>32</v>
      </c>
      <c r="N52" s="20" cm="1">
        <f t="array" ref="N52">_xlfn.IFS(M52 = "Yes",K52 - L52,M52 = "No",K52)</f>
        <v>26.5</v>
      </c>
      <c r="Q52" s="4">
        <v>0</v>
      </c>
      <c r="R52" s="4">
        <v>0</v>
      </c>
      <c r="S52" s="4">
        <v>0</v>
      </c>
      <c r="T52" s="4">
        <v>0.1</v>
      </c>
      <c r="U52" s="4">
        <v>0.25</v>
      </c>
      <c r="V52" s="7">
        <v>240</v>
      </c>
      <c r="W52" s="73"/>
      <c r="X52" s="19">
        <v>128</v>
      </c>
      <c r="Y52" s="57">
        <f>U55</f>
        <v>93.5</v>
      </c>
      <c r="Z52" s="20">
        <f>X52 - Y52</f>
        <v>34.5</v>
      </c>
      <c r="AA52" s="20">
        <f>1000 / (V52 / 12)</f>
        <v>50</v>
      </c>
      <c r="AB52" s="21" t="s">
        <v>32</v>
      </c>
      <c r="AC52" s="20" cm="1">
        <f t="array" ref="AC52">_xlfn.IFS(AB52 = "Yes",Z52 - AA52,AB52 = "No",Z52)</f>
        <v>34.5</v>
      </c>
    </row>
    <row r="54" spans="2:29" ht="57.6" x14ac:dyDescent="0.3">
      <c r="B54" s="18" t="s">
        <v>11</v>
      </c>
      <c r="C54" s="18" t="s">
        <v>258</v>
      </c>
      <c r="D54" s="18" t="s">
        <v>12</v>
      </c>
      <c r="E54" s="18" t="s">
        <v>13</v>
      </c>
      <c r="F54" s="18" t="s">
        <v>14</v>
      </c>
      <c r="G54" s="18" t="s">
        <v>15</v>
      </c>
      <c r="I54" s="18" t="s">
        <v>259</v>
      </c>
      <c r="J54" s="18" t="s">
        <v>260</v>
      </c>
      <c r="K54" s="18" t="s">
        <v>261</v>
      </c>
      <c r="L54" s="22" t="s">
        <v>262</v>
      </c>
      <c r="M54" s="18" t="s">
        <v>30</v>
      </c>
      <c r="N54" s="18" t="s">
        <v>31</v>
      </c>
      <c r="Q54" s="18" t="s">
        <v>11</v>
      </c>
      <c r="R54" s="18" t="s">
        <v>258</v>
      </c>
      <c r="S54" s="18" t="s">
        <v>12</v>
      </c>
      <c r="T54" s="18" t="s">
        <v>13</v>
      </c>
      <c r="U54" s="18" t="s">
        <v>14</v>
      </c>
      <c r="V54" s="18" t="s">
        <v>15</v>
      </c>
      <c r="X54" s="18" t="s">
        <v>259</v>
      </c>
      <c r="Y54" s="18" t="s">
        <v>260</v>
      </c>
      <c r="Z54" s="18" t="s">
        <v>261</v>
      </c>
      <c r="AA54" s="22" t="s">
        <v>262</v>
      </c>
      <c r="AB54" s="18" t="s">
        <v>30</v>
      </c>
      <c r="AC54" s="18" t="s">
        <v>31</v>
      </c>
    </row>
    <row r="55" spans="2:29" x14ac:dyDescent="0.3">
      <c r="B55" s="19">
        <v>85</v>
      </c>
      <c r="C55" s="16">
        <f>B55 * $G52</f>
        <v>18700</v>
      </c>
      <c r="D55" s="3">
        <f>SUM($B52,$C52,$D52,$E52)</f>
        <v>0.1</v>
      </c>
      <c r="E55" s="16">
        <f>(C55 * D55) / $G52</f>
        <v>8.5</v>
      </c>
      <c r="F55" s="20">
        <f>B55 +E55</f>
        <v>93.5</v>
      </c>
      <c r="G55" s="24">
        <f>F55 * (1+F52)</f>
        <v>116.875</v>
      </c>
      <c r="H55" s="73"/>
      <c r="I55" s="16">
        <f>G52 * I52</f>
        <v>26400</v>
      </c>
      <c r="J55" s="16" cm="1">
        <f t="array" ref="J55">_xlfn.IFS(M52 = "Yes",G52 * (J52 + L52),M52 &lt;&gt; "Yes",G52 * (J52))</f>
        <v>20570</v>
      </c>
      <c r="K55" s="16">
        <f>I55 - J55</f>
        <v>5830</v>
      </c>
      <c r="L55" s="26">
        <f>K55 / J55</f>
        <v>0.28342245989304815</v>
      </c>
      <c r="M55" s="16">
        <f>I55 / 3</f>
        <v>8800</v>
      </c>
      <c r="N55" s="16">
        <f>K55 / 3</f>
        <v>1943.3333333333333</v>
      </c>
      <c r="Q55" s="19">
        <v>85</v>
      </c>
      <c r="R55" s="16">
        <f>Q55 * $G52</f>
        <v>18700</v>
      </c>
      <c r="S55" s="3">
        <f>SUM($B52,$C52,$D52,$E52)</f>
        <v>0.1</v>
      </c>
      <c r="T55" s="16">
        <f>(R55 * S55) / $G52</f>
        <v>8.5</v>
      </c>
      <c r="U55" s="20">
        <f>Q55 +T55</f>
        <v>93.5</v>
      </c>
      <c r="V55" s="24">
        <f>U55 * (1+U52)</f>
        <v>116.875</v>
      </c>
      <c r="W55" s="73"/>
      <c r="X55" s="16">
        <f>V52 * X52</f>
        <v>30720</v>
      </c>
      <c r="Y55" s="16" cm="1">
        <f t="array" ref="Y55">_xlfn.IFS(AB52 = "Yes",V52 * (Y52 + AA52),AB52 &lt;&gt; "Yes",V52 * (Y52))</f>
        <v>22440</v>
      </c>
      <c r="Z55" s="16">
        <f>X55 - Y55</f>
        <v>8280</v>
      </c>
      <c r="AA55" s="26">
        <f>Z55 / Y55</f>
        <v>0.36898395721925131</v>
      </c>
      <c r="AB55" s="16">
        <f>X55 / 3</f>
        <v>10240</v>
      </c>
      <c r="AC55" s="16">
        <f>Z55 / 3</f>
        <v>2760</v>
      </c>
    </row>
    <row r="57" spans="2:29" x14ac:dyDescent="0.3">
      <c r="B57" s="66" t="s">
        <v>263</v>
      </c>
      <c r="Q57" s="66" t="s">
        <v>263</v>
      </c>
    </row>
    <row r="58" spans="2:29" ht="57.6" x14ac:dyDescent="0.3">
      <c r="B58" s="18" t="s">
        <v>1</v>
      </c>
      <c r="C58" s="18" t="s">
        <v>3</v>
      </c>
      <c r="D58" s="18" t="s">
        <v>2</v>
      </c>
      <c r="E58" s="18" t="s">
        <v>4</v>
      </c>
      <c r="F58" s="18" t="s">
        <v>6</v>
      </c>
      <c r="G58" s="18" t="s">
        <v>5</v>
      </c>
      <c r="I58" s="18" t="s">
        <v>19</v>
      </c>
      <c r="J58" s="18" t="s">
        <v>20</v>
      </c>
      <c r="K58" s="18" t="s">
        <v>21</v>
      </c>
      <c r="L58" s="18" t="s">
        <v>22</v>
      </c>
      <c r="M58" s="18" t="s">
        <v>23</v>
      </c>
      <c r="N58" s="18" t="s">
        <v>24</v>
      </c>
      <c r="Q58" s="18" t="s">
        <v>1</v>
      </c>
      <c r="R58" s="18" t="s">
        <v>3</v>
      </c>
      <c r="S58" s="18" t="s">
        <v>2</v>
      </c>
      <c r="T58" s="18" t="s">
        <v>4</v>
      </c>
      <c r="U58" s="18" t="s">
        <v>6</v>
      </c>
      <c r="V58" s="18" t="s">
        <v>5</v>
      </c>
      <c r="X58" s="18" t="s">
        <v>19</v>
      </c>
      <c r="Y58" s="18" t="s">
        <v>20</v>
      </c>
      <c r="Z58" s="18" t="s">
        <v>21</v>
      </c>
      <c r="AA58" s="18" t="s">
        <v>22</v>
      </c>
      <c r="AB58" s="18" t="s">
        <v>23</v>
      </c>
      <c r="AC58" s="18" t="s">
        <v>24</v>
      </c>
    </row>
    <row r="59" spans="2:29" x14ac:dyDescent="0.3">
      <c r="B59" s="4">
        <v>0.03</v>
      </c>
      <c r="C59" s="4">
        <v>0.1</v>
      </c>
      <c r="D59" s="4">
        <v>0.12</v>
      </c>
      <c r="E59" s="4">
        <v>0.1</v>
      </c>
      <c r="F59" s="4">
        <v>0.25</v>
      </c>
      <c r="G59" s="7">
        <v>60</v>
      </c>
      <c r="H59" s="73"/>
      <c r="I59" s="19">
        <v>128</v>
      </c>
      <c r="J59" s="57">
        <f>F62</f>
        <v>33.75</v>
      </c>
      <c r="K59" s="20">
        <f>I59 - J59</f>
        <v>94.25</v>
      </c>
      <c r="L59" s="20">
        <f>1000 / (G59 / 12)</f>
        <v>200</v>
      </c>
      <c r="M59" s="21" t="s">
        <v>32</v>
      </c>
      <c r="N59" s="20" cm="1">
        <f t="array" ref="N59">_xlfn.IFS(M59 = "Yes",K59 - L59,M59 = "No",K59)</f>
        <v>94.25</v>
      </c>
      <c r="Q59" s="4">
        <v>0.03</v>
      </c>
      <c r="R59" s="4">
        <v>0.1</v>
      </c>
      <c r="S59" s="4">
        <v>0.12</v>
      </c>
      <c r="T59" s="4">
        <v>0.1</v>
      </c>
      <c r="U59" s="4">
        <v>0.25</v>
      </c>
      <c r="V59" s="7">
        <v>60</v>
      </c>
      <c r="W59" s="73"/>
      <c r="X59" s="19">
        <v>128</v>
      </c>
      <c r="Y59" s="57">
        <f>U62</f>
        <v>33.75</v>
      </c>
      <c r="Z59" s="20">
        <f>X59 - Y59</f>
        <v>94.25</v>
      </c>
      <c r="AA59" s="20">
        <f>1000 / (V59 / 12)</f>
        <v>200</v>
      </c>
      <c r="AB59" s="21" t="s">
        <v>32</v>
      </c>
      <c r="AC59" s="20" cm="1">
        <f t="array" ref="AC59">_xlfn.IFS(AB59 = "Yes",Z59 - AA59,AB59 = "No",Z59)</f>
        <v>94.25</v>
      </c>
    </row>
    <row r="60" spans="2:29" ht="14.4" customHeight="1" x14ac:dyDescent="0.3"/>
    <row r="61" spans="2:29" ht="63" customHeight="1" x14ac:dyDescent="0.3">
      <c r="B61" s="18" t="s">
        <v>11</v>
      </c>
      <c r="C61" s="18" t="s">
        <v>258</v>
      </c>
      <c r="D61" s="18" t="s">
        <v>12</v>
      </c>
      <c r="E61" s="18" t="s">
        <v>13</v>
      </c>
      <c r="F61" s="18" t="s">
        <v>14</v>
      </c>
      <c r="G61" s="18" t="s">
        <v>15</v>
      </c>
      <c r="I61" s="18" t="s">
        <v>259</v>
      </c>
      <c r="J61" s="18" t="s">
        <v>260</v>
      </c>
      <c r="K61" s="18" t="s">
        <v>261</v>
      </c>
      <c r="L61" s="22" t="s">
        <v>262</v>
      </c>
      <c r="M61" s="18" t="s">
        <v>30</v>
      </c>
      <c r="N61" s="18" t="s">
        <v>31</v>
      </c>
      <c r="Q61" s="18" t="s">
        <v>11</v>
      </c>
      <c r="R61" s="18" t="s">
        <v>258</v>
      </c>
      <c r="S61" s="18" t="s">
        <v>12</v>
      </c>
      <c r="T61" s="18" t="s">
        <v>13</v>
      </c>
      <c r="U61" s="18" t="s">
        <v>14</v>
      </c>
      <c r="V61" s="18" t="s">
        <v>15</v>
      </c>
      <c r="X61" s="18" t="s">
        <v>259</v>
      </c>
      <c r="Y61" s="18" t="s">
        <v>260</v>
      </c>
      <c r="Z61" s="18" t="s">
        <v>261</v>
      </c>
      <c r="AA61" s="22" t="s">
        <v>262</v>
      </c>
      <c r="AB61" s="18" t="s">
        <v>30</v>
      </c>
      <c r="AC61" s="18" t="s">
        <v>31</v>
      </c>
    </row>
    <row r="62" spans="2:29" x14ac:dyDescent="0.3">
      <c r="B62" s="19">
        <v>25</v>
      </c>
      <c r="C62" s="16">
        <f>B62 * $G59</f>
        <v>1500</v>
      </c>
      <c r="D62" s="3">
        <f>SUM($B59,$C59,$D59,$E59)</f>
        <v>0.35</v>
      </c>
      <c r="E62" s="16">
        <f>(C62 * D62) / $G59</f>
        <v>8.75</v>
      </c>
      <c r="F62" s="20">
        <f>B62 +E62</f>
        <v>33.75</v>
      </c>
      <c r="G62" s="24">
        <f>F62 * (1+F59)</f>
        <v>42.1875</v>
      </c>
      <c r="H62" s="73"/>
      <c r="I62" s="16">
        <f>G59 * I59</f>
        <v>7680</v>
      </c>
      <c r="J62" s="16" cm="1">
        <f t="array" ref="J62">_xlfn.IFS(M59 = "Yes",G59 * (J59 + L59),M59 &lt;&gt; "Yes",G59 * (J59))</f>
        <v>2025</v>
      </c>
      <c r="K62" s="16">
        <f>I62 - J62</f>
        <v>5655</v>
      </c>
      <c r="L62" s="26">
        <f>K62 / J62</f>
        <v>2.7925925925925927</v>
      </c>
      <c r="M62" s="16">
        <f>I62 / 3</f>
        <v>2560</v>
      </c>
      <c r="N62" s="16">
        <f>K62 / 3</f>
        <v>1885</v>
      </c>
      <c r="Q62" s="19">
        <v>25</v>
      </c>
      <c r="R62" s="16">
        <f>Q62 * $G59</f>
        <v>1500</v>
      </c>
      <c r="S62" s="3">
        <f>SUM($B59,$C59,$D59,$E59)</f>
        <v>0.35</v>
      </c>
      <c r="T62" s="16">
        <f>(R62 * S62) / $G59</f>
        <v>8.75</v>
      </c>
      <c r="U62" s="20">
        <f>Q62 +T62</f>
        <v>33.75</v>
      </c>
      <c r="V62" s="24">
        <f>U62 * (1+U59)</f>
        <v>42.1875</v>
      </c>
      <c r="W62" s="73"/>
      <c r="X62" s="16">
        <f>V59 * X59</f>
        <v>7680</v>
      </c>
      <c r="Y62" s="16" cm="1">
        <f t="array" ref="Y62">_xlfn.IFS(AB59 = "Yes",V59 * (Y59 + AA59),AB59 &lt;&gt; "Yes",V59 * (Y59))</f>
        <v>2025</v>
      </c>
      <c r="Z62" s="16">
        <f>X62 - Y62</f>
        <v>5655</v>
      </c>
      <c r="AA62" s="26">
        <f>Z62 / Y62</f>
        <v>2.7925925925925927</v>
      </c>
      <c r="AB62" s="16">
        <f>X62 / 3</f>
        <v>2560</v>
      </c>
      <c r="AC62" s="16">
        <f>Z62 / 3</f>
        <v>1885</v>
      </c>
    </row>
    <row r="63" spans="2:29" x14ac:dyDescent="0.3">
      <c r="F63" s="89"/>
    </row>
  </sheetData>
  <mergeCells count="1">
    <mergeCell ref="B20:E20"/>
  </mergeCells>
  <pageMargins left="0.7" right="0.7" top="0.75" bottom="0.75" header="0.3" footer="0.3"/>
  <pageSetup orientation="portrait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0754-70F6-4D42-A84D-54A3C4F19280}">
  <dimension ref="A1:O725"/>
  <sheetViews>
    <sheetView topLeftCell="A117" zoomScaleNormal="100" workbookViewId="0">
      <selection activeCell="B125" sqref="B125"/>
    </sheetView>
  </sheetViews>
  <sheetFormatPr defaultColWidth="14.44140625" defaultRowHeight="15" customHeight="1" x14ac:dyDescent="0.3"/>
  <cols>
    <col min="1" max="1" width="24.33203125" customWidth="1"/>
    <col min="2" max="2" width="15.109375" customWidth="1"/>
    <col min="3" max="3" width="11.88671875" bestFit="1" customWidth="1"/>
    <col min="4" max="4" width="11.33203125" customWidth="1"/>
    <col min="5" max="5" width="13.44140625" customWidth="1"/>
    <col min="6" max="6" width="11.33203125" customWidth="1"/>
    <col min="7" max="7" width="13.44140625" customWidth="1"/>
    <col min="8" max="8" width="5.44140625" customWidth="1"/>
    <col min="9" max="12" width="12.88671875" customWidth="1"/>
    <col min="13" max="13" width="14.44140625" customWidth="1"/>
    <col min="14" max="14" width="23" customWidth="1"/>
    <col min="15" max="17" width="8.6640625" customWidth="1"/>
    <col min="18" max="18" width="10.33203125" bestFit="1" customWidth="1"/>
    <col min="19" max="19" width="14.6640625" bestFit="1" customWidth="1"/>
    <col min="20" max="26" width="8.6640625" customWidth="1"/>
  </cols>
  <sheetData>
    <row r="1" spans="1:14" ht="25.8" x14ac:dyDescent="0.3">
      <c r="A1" s="58" t="s">
        <v>264</v>
      </c>
    </row>
    <row r="2" spans="1:14" ht="15" customHeight="1" x14ac:dyDescent="0.3">
      <c r="A2" s="2"/>
    </row>
    <row r="3" spans="1:14" ht="15" customHeight="1" x14ac:dyDescent="0.3">
      <c r="A3" s="2"/>
      <c r="B3" s="66" t="s">
        <v>44</v>
      </c>
      <c r="C3" s="63" t="e">
        <f>SUM(I15,I23,I31,I39,I46,I53,I6,I70,I78,I86,I94,I102,I110,I117,I124,I131,#REF!)</f>
        <v>#REF!</v>
      </c>
      <c r="D3" s="63"/>
    </row>
    <row r="4" spans="1:14" ht="15" customHeight="1" x14ac:dyDescent="0.3">
      <c r="A4" s="2"/>
      <c r="B4" s="66" t="s">
        <v>156</v>
      </c>
      <c r="C4" s="63" t="e">
        <f>SUM(J15,J23,J31,J39,J46,J53,J61,J70,J78,J86,J94,J102,J110,J117,J124,J131,#REF!)</f>
        <v>#REF!</v>
      </c>
    </row>
    <row r="5" spans="1:14" ht="15" customHeight="1" x14ac:dyDescent="0.3">
      <c r="A5" s="2"/>
      <c r="B5" s="66" t="s">
        <v>265</v>
      </c>
      <c r="C5" s="63" t="e">
        <f>C3-C4</f>
        <v>#REF!</v>
      </c>
    </row>
    <row r="6" spans="1:14" ht="15" customHeight="1" x14ac:dyDescent="0.3">
      <c r="A6" s="2"/>
      <c r="B6" s="66" t="s">
        <v>202</v>
      </c>
      <c r="C6" s="86" t="e">
        <f>1-C4/C3</f>
        <v>#REF!</v>
      </c>
    </row>
    <row r="7" spans="1:14" ht="15" customHeight="1" x14ac:dyDescent="0.3">
      <c r="A7" s="2"/>
    </row>
    <row r="8" spans="1:14" ht="15.75" customHeight="1" x14ac:dyDescent="0.45">
      <c r="B8" s="76" t="s">
        <v>266</v>
      </c>
      <c r="I8" s="31"/>
      <c r="J8" s="31"/>
      <c r="M8" s="25"/>
      <c r="N8" s="32"/>
    </row>
    <row r="9" spans="1:14" ht="15.75" customHeight="1" x14ac:dyDescent="0.3">
      <c r="I9" s="31"/>
      <c r="J9" s="31"/>
      <c r="M9" s="25"/>
      <c r="N9" s="32"/>
    </row>
    <row r="10" spans="1:14" ht="21" x14ac:dyDescent="0.4">
      <c r="B10" s="283" t="s">
        <v>108</v>
      </c>
      <c r="C10" s="284"/>
      <c r="D10" s="284"/>
      <c r="E10" s="284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43.5" customHeight="1" x14ac:dyDescent="0.3">
      <c r="B11" s="33" t="s">
        <v>1</v>
      </c>
      <c r="C11" s="34" t="s">
        <v>3</v>
      </c>
      <c r="D11" s="34" t="s">
        <v>2</v>
      </c>
      <c r="E11" s="34" t="s">
        <v>4</v>
      </c>
      <c r="F11" s="34" t="s">
        <v>6</v>
      </c>
      <c r="G11" s="34" t="s">
        <v>5</v>
      </c>
      <c r="H11" s="34"/>
      <c r="I11" s="34" t="s">
        <v>19</v>
      </c>
      <c r="J11" s="34" t="s">
        <v>20</v>
      </c>
      <c r="K11" s="34" t="s">
        <v>21</v>
      </c>
      <c r="L11" s="35" t="s">
        <v>22</v>
      </c>
      <c r="M11" s="34" t="s">
        <v>23</v>
      </c>
      <c r="N11" s="36" t="s">
        <v>24</v>
      </c>
    </row>
    <row r="12" spans="1:14" ht="15.75" customHeight="1" x14ac:dyDescent="0.3">
      <c r="B12" s="55">
        <v>0.13</v>
      </c>
      <c r="C12" s="53">
        <v>0.1</v>
      </c>
      <c r="D12" s="53">
        <v>0.12</v>
      </c>
      <c r="E12" s="53">
        <v>0.1</v>
      </c>
      <c r="F12" s="53">
        <v>0.25</v>
      </c>
      <c r="G12" s="54">
        <v>1880</v>
      </c>
      <c r="H12" s="37"/>
      <c r="I12" s="56">
        <v>166.5</v>
      </c>
      <c r="J12" s="29">
        <f>F15</f>
        <v>111.83510638297872</v>
      </c>
      <c r="K12" s="29">
        <f>I12 - J12</f>
        <v>54.664893617021278</v>
      </c>
      <c r="L12" s="29">
        <f>1000 / (G12 / 12)</f>
        <v>6.3829787234042561</v>
      </c>
      <c r="M12" s="54" t="s">
        <v>87</v>
      </c>
      <c r="N12" s="38">
        <f>_xlfn.IFS(M12 = "Yes",K12 - L12,M12 = "No",K12)</f>
        <v>48.281914893617021</v>
      </c>
    </row>
    <row r="13" spans="1:14" ht="15.75" customHeight="1" x14ac:dyDescent="0.3">
      <c r="B13" s="39"/>
      <c r="C13" s="40"/>
      <c r="D13" s="40"/>
      <c r="E13" s="40"/>
      <c r="F13" s="40"/>
      <c r="G13" s="40"/>
      <c r="H13" s="40"/>
      <c r="I13" s="65"/>
      <c r="J13" s="40"/>
      <c r="K13" s="40"/>
      <c r="L13" s="40"/>
      <c r="M13" s="40"/>
      <c r="N13" s="41"/>
    </row>
    <row r="14" spans="1:14" ht="57.75" customHeight="1" x14ac:dyDescent="0.3">
      <c r="B14" s="33" t="s">
        <v>84</v>
      </c>
      <c r="C14" s="34" t="s">
        <v>11</v>
      </c>
      <c r="D14" s="34" t="s">
        <v>12</v>
      </c>
      <c r="E14" s="34" t="s">
        <v>13</v>
      </c>
      <c r="F14" s="34" t="s">
        <v>14</v>
      </c>
      <c r="G14" s="34" t="s">
        <v>15</v>
      </c>
      <c r="H14" s="34"/>
      <c r="I14" s="34" t="s">
        <v>26</v>
      </c>
      <c r="J14" s="34" t="s">
        <v>27</v>
      </c>
      <c r="K14" s="34" t="s">
        <v>28</v>
      </c>
      <c r="L14" s="30" t="s">
        <v>29</v>
      </c>
      <c r="M14" s="34" t="s">
        <v>30</v>
      </c>
      <c r="N14" s="36" t="s">
        <v>31</v>
      </c>
    </row>
    <row r="15" spans="1:14" ht="15.75" customHeight="1" x14ac:dyDescent="0.3">
      <c r="B15" s="52">
        <v>145000</v>
      </c>
      <c r="C15" s="42">
        <f>B15 / $G12</f>
        <v>77.127659574468083</v>
      </c>
      <c r="D15" s="43">
        <f>SUM($B12,$C12,$D12,$E12)</f>
        <v>0.44999999999999996</v>
      </c>
      <c r="E15" s="42">
        <f>(B15 * D15) / $G12</f>
        <v>34.707446808510632</v>
      </c>
      <c r="F15" s="42">
        <f>C15 + E15</f>
        <v>111.83510638297872</v>
      </c>
      <c r="G15" s="42">
        <f>F15 * (1+$F12)</f>
        <v>139.79388297872339</v>
      </c>
      <c r="H15" s="44"/>
      <c r="I15" s="45">
        <f>G12 * I12</f>
        <v>313020</v>
      </c>
      <c r="J15" s="45">
        <f>_xlfn.IFS(M12 = "Yes",G12 * (J12 + L12),M12 &lt;&gt; "Yes",G12 * (J12))</f>
        <v>222250</v>
      </c>
      <c r="K15" s="45">
        <f>I15 - J15</f>
        <v>90770</v>
      </c>
      <c r="L15" s="46">
        <f>K15 / I15</f>
        <v>0.28998147083253467</v>
      </c>
      <c r="M15" s="45">
        <f>I15 / 12</f>
        <v>26085</v>
      </c>
      <c r="N15" s="47">
        <f>K15 / 12</f>
        <v>7564.166666666667</v>
      </c>
    </row>
    <row r="16" spans="1:14" ht="15.75" customHeight="1" x14ac:dyDescent="0.3"/>
    <row r="17" spans="2:14" ht="15.75" customHeight="1" x14ac:dyDescent="0.3"/>
    <row r="18" spans="2:14" ht="21" x14ac:dyDescent="0.4">
      <c r="B18" s="283" t="s">
        <v>120</v>
      </c>
      <c r="C18" s="284"/>
      <c r="D18" s="284"/>
      <c r="E18" s="284" t="s">
        <v>53</v>
      </c>
      <c r="F18" s="50" t="s">
        <v>53</v>
      </c>
      <c r="G18" s="50" t="s">
        <v>53</v>
      </c>
      <c r="H18" s="50" t="s">
        <v>53</v>
      </c>
      <c r="I18" s="50" t="s">
        <v>53</v>
      </c>
      <c r="J18" s="50" t="s">
        <v>53</v>
      </c>
      <c r="K18" s="50" t="s">
        <v>53</v>
      </c>
      <c r="L18" s="50" t="s">
        <v>53</v>
      </c>
      <c r="M18" s="50" t="s">
        <v>53</v>
      </c>
      <c r="N18" s="51" t="s">
        <v>53</v>
      </c>
    </row>
    <row r="19" spans="2:14" ht="43.2" x14ac:dyDescent="0.3">
      <c r="B19" s="33" t="s">
        <v>1</v>
      </c>
      <c r="C19" s="34" t="s">
        <v>3</v>
      </c>
      <c r="D19" s="34" t="s">
        <v>2</v>
      </c>
      <c r="E19" s="34" t="s">
        <v>4</v>
      </c>
      <c r="F19" s="34" t="s">
        <v>6</v>
      </c>
      <c r="G19" s="34" t="s">
        <v>5</v>
      </c>
      <c r="H19" s="34" t="s">
        <v>53</v>
      </c>
      <c r="I19" s="34" t="s">
        <v>19</v>
      </c>
      <c r="J19" s="34" t="s">
        <v>20</v>
      </c>
      <c r="K19" s="34" t="s">
        <v>21</v>
      </c>
      <c r="L19" s="35" t="s">
        <v>22</v>
      </c>
      <c r="M19" s="34" t="s">
        <v>23</v>
      </c>
      <c r="N19" s="36" t="s">
        <v>24</v>
      </c>
    </row>
    <row r="20" spans="2:14" ht="14.4" x14ac:dyDescent="0.3">
      <c r="B20" s="55">
        <v>0.13</v>
      </c>
      <c r="C20" s="53">
        <v>0.1</v>
      </c>
      <c r="D20" s="53">
        <v>0.12</v>
      </c>
      <c r="E20" s="53">
        <v>0.1</v>
      </c>
      <c r="F20" s="53">
        <v>0.25</v>
      </c>
      <c r="G20" s="54">
        <v>1880</v>
      </c>
      <c r="H20" s="37" t="s">
        <v>53</v>
      </c>
      <c r="I20" s="56">
        <v>166.5</v>
      </c>
      <c r="J20" s="29">
        <f>F23</f>
        <v>119.54787234042553</v>
      </c>
      <c r="K20" s="29">
        <v>49.45</v>
      </c>
      <c r="L20" s="29">
        <v>6.38</v>
      </c>
      <c r="M20" s="54" t="s">
        <v>25</v>
      </c>
      <c r="N20" s="38">
        <f>_xlfn.IFS(M20 = "Yes",K20 - L20,M20 = "No",K20)</f>
        <v>43.07</v>
      </c>
    </row>
    <row r="21" spans="2:14" ht="14.4" x14ac:dyDescent="0.3">
      <c r="B21" s="39" t="s">
        <v>53</v>
      </c>
      <c r="C21" s="40" t="s">
        <v>53</v>
      </c>
      <c r="D21" s="40" t="s">
        <v>53</v>
      </c>
      <c r="E21" s="40" t="s">
        <v>53</v>
      </c>
      <c r="F21" s="40" t="s">
        <v>53</v>
      </c>
      <c r="G21" s="40" t="s">
        <v>53</v>
      </c>
      <c r="H21" s="40" t="s">
        <v>53</v>
      </c>
      <c r="I21" s="40" t="s">
        <v>53</v>
      </c>
      <c r="J21" s="40" t="s">
        <v>53</v>
      </c>
      <c r="K21" s="40" t="s">
        <v>53</v>
      </c>
      <c r="L21" s="40" t="s">
        <v>53</v>
      </c>
      <c r="M21" s="40" t="s">
        <v>53</v>
      </c>
      <c r="N21" s="41" t="s">
        <v>53</v>
      </c>
    </row>
    <row r="22" spans="2:14" ht="43.2" x14ac:dyDescent="0.3">
      <c r="B22" s="33" t="s">
        <v>10</v>
      </c>
      <c r="C22" s="34" t="s">
        <v>11</v>
      </c>
      <c r="D22" s="34" t="s">
        <v>12</v>
      </c>
      <c r="E22" s="34" t="s">
        <v>13</v>
      </c>
      <c r="F22" s="34" t="s">
        <v>14</v>
      </c>
      <c r="G22" s="34" t="s">
        <v>15</v>
      </c>
      <c r="H22" s="34" t="s">
        <v>53</v>
      </c>
      <c r="I22" s="34" t="s">
        <v>26</v>
      </c>
      <c r="J22" s="34" t="s">
        <v>27</v>
      </c>
      <c r="K22" s="34" t="s">
        <v>28</v>
      </c>
      <c r="L22" s="30" t="s">
        <v>29</v>
      </c>
      <c r="M22" s="34" t="s">
        <v>30</v>
      </c>
      <c r="N22" s="36" t="s">
        <v>31</v>
      </c>
    </row>
    <row r="23" spans="2:14" ht="14.4" x14ac:dyDescent="0.3">
      <c r="B23" s="52">
        <v>155000</v>
      </c>
      <c r="C23" s="42">
        <f>B23 / $G20</f>
        <v>82.446808510638292</v>
      </c>
      <c r="D23" s="43">
        <f>SUM($B20,$C20,$D20,$E20)</f>
        <v>0.44999999999999996</v>
      </c>
      <c r="E23" s="42">
        <f>(B23 * D23) / $G20</f>
        <v>37.101063829787236</v>
      </c>
      <c r="F23" s="42">
        <f>C23 + E23</f>
        <v>119.54787234042553</v>
      </c>
      <c r="G23" s="42">
        <f>F23 * (1+$F20)</f>
        <v>149.43484042553192</v>
      </c>
      <c r="H23" s="44" t="s">
        <v>53</v>
      </c>
      <c r="I23" s="45">
        <f>G20 * I20</f>
        <v>313020</v>
      </c>
      <c r="J23" s="45">
        <f>_xlfn.IFS(M20 = "Yes",G20 * (J20 + L20),M20 &lt;&gt; "Yes",G20 * (J20))</f>
        <v>236744.4</v>
      </c>
      <c r="K23" s="45">
        <f>I23 - J23</f>
        <v>76275.600000000006</v>
      </c>
      <c r="L23" s="46">
        <f>K23 / I23</f>
        <v>0.24367644239984668</v>
      </c>
      <c r="M23" s="45">
        <f>I23 / 12</f>
        <v>26085</v>
      </c>
      <c r="N23" s="47">
        <f>K23 / 12</f>
        <v>6356.3</v>
      </c>
    </row>
    <row r="24" spans="2:14" ht="14.4" x14ac:dyDescent="0.3"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</row>
    <row r="25" spans="2:14" ht="14.4" x14ac:dyDescent="0.3"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</row>
    <row r="26" spans="2:14" ht="21" x14ac:dyDescent="0.4">
      <c r="B26" s="283" t="s">
        <v>118</v>
      </c>
      <c r="C26" s="284"/>
      <c r="D26" s="284"/>
      <c r="E26" s="284"/>
      <c r="F26" s="50" t="s">
        <v>53</v>
      </c>
      <c r="G26" s="50" t="s">
        <v>53</v>
      </c>
      <c r="H26" s="50" t="s">
        <v>53</v>
      </c>
      <c r="I26" s="50" t="s">
        <v>53</v>
      </c>
      <c r="J26" s="50" t="s">
        <v>53</v>
      </c>
      <c r="K26" s="50" t="s">
        <v>53</v>
      </c>
      <c r="L26" s="50" t="s">
        <v>53</v>
      </c>
      <c r="M26" s="50" t="s">
        <v>53</v>
      </c>
      <c r="N26" s="51" t="s">
        <v>53</v>
      </c>
    </row>
    <row r="27" spans="2:14" ht="43.2" x14ac:dyDescent="0.3">
      <c r="B27" s="33" t="s">
        <v>1</v>
      </c>
      <c r="C27" s="34" t="s">
        <v>3</v>
      </c>
      <c r="D27" s="34" t="s">
        <v>2</v>
      </c>
      <c r="E27" s="34" t="s">
        <v>4</v>
      </c>
      <c r="F27" s="34" t="s">
        <v>6</v>
      </c>
      <c r="G27" s="34" t="s">
        <v>5</v>
      </c>
      <c r="H27" s="34"/>
      <c r="I27" s="34" t="s">
        <v>19</v>
      </c>
      <c r="J27" s="34" t="s">
        <v>20</v>
      </c>
      <c r="K27" s="34" t="s">
        <v>21</v>
      </c>
      <c r="L27" s="35" t="s">
        <v>22</v>
      </c>
      <c r="M27" s="34" t="s">
        <v>23</v>
      </c>
      <c r="N27" s="36" t="s">
        <v>24</v>
      </c>
    </row>
    <row r="28" spans="2:14" ht="14.4" x14ac:dyDescent="0.3">
      <c r="B28" s="55">
        <v>0.13</v>
      </c>
      <c r="C28" s="59">
        <v>0.1</v>
      </c>
      <c r="D28" s="53">
        <v>0.12</v>
      </c>
      <c r="E28" s="53">
        <v>0.1</v>
      </c>
      <c r="F28" s="53">
        <v>0.25</v>
      </c>
      <c r="G28" s="54">
        <v>1880</v>
      </c>
      <c r="H28" s="37"/>
      <c r="I28" s="56">
        <v>166.5</v>
      </c>
      <c r="J28" s="29">
        <f>F31</f>
        <v>92.553191489361694</v>
      </c>
      <c r="K28" s="29">
        <f>I28 - J28</f>
        <v>73.946808510638306</v>
      </c>
      <c r="L28" s="29">
        <f>1000 / (G28 / 12)</f>
        <v>6.3829787234042561</v>
      </c>
      <c r="M28" s="54" t="s">
        <v>87</v>
      </c>
      <c r="N28" s="38">
        <f>_xlfn.IFS(M28 = "Yes",K28 - L28,M28 = "No",K28)</f>
        <v>67.563829787234056</v>
      </c>
    </row>
    <row r="29" spans="2:14" ht="14.4" x14ac:dyDescent="0.3"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1"/>
    </row>
    <row r="30" spans="2:14" ht="43.2" x14ac:dyDescent="0.3">
      <c r="B30" s="33" t="s">
        <v>10</v>
      </c>
      <c r="C30" s="34" t="s">
        <v>11</v>
      </c>
      <c r="D30" s="34" t="s">
        <v>12</v>
      </c>
      <c r="E30" s="34" t="s">
        <v>13</v>
      </c>
      <c r="F30" s="34" t="s">
        <v>14</v>
      </c>
      <c r="G30" s="34" t="s">
        <v>15</v>
      </c>
      <c r="H30" s="34"/>
      <c r="I30" s="34" t="s">
        <v>26</v>
      </c>
      <c r="J30" s="34" t="s">
        <v>27</v>
      </c>
      <c r="K30" s="34" t="s">
        <v>28</v>
      </c>
      <c r="L30" s="30" t="s">
        <v>29</v>
      </c>
      <c r="M30" s="34" t="s">
        <v>30</v>
      </c>
      <c r="N30" s="36" t="s">
        <v>31</v>
      </c>
    </row>
    <row r="31" spans="2:14" ht="14.4" x14ac:dyDescent="0.3">
      <c r="B31" s="52">
        <v>120000</v>
      </c>
      <c r="C31" s="42">
        <f>B31 / $G28</f>
        <v>63.829787234042556</v>
      </c>
      <c r="D31" s="43">
        <f>SUM($B28,$C28,$D28,$E28)</f>
        <v>0.44999999999999996</v>
      </c>
      <c r="E31" s="42">
        <f>(B31 * D31) / $G28</f>
        <v>28.723404255319146</v>
      </c>
      <c r="F31" s="42">
        <f>C31 + E31</f>
        <v>92.553191489361694</v>
      </c>
      <c r="G31" s="42">
        <f>F31 * (1+$F28)</f>
        <v>115.69148936170211</v>
      </c>
      <c r="H31" s="44"/>
      <c r="I31" s="45">
        <f>G28 * I28</f>
        <v>313020</v>
      </c>
      <c r="J31" s="45">
        <f>_xlfn.IFS(M28 = "Yes",G28 * (J28 + L28),M28 &lt;&gt; "Yes",G28 * (J28))</f>
        <v>185999.99999999997</v>
      </c>
      <c r="K31" s="45">
        <f>I31 - J31</f>
        <v>127020.00000000003</v>
      </c>
      <c r="L31" s="46">
        <f>K31 / I31</f>
        <v>0.40578876749089526</v>
      </c>
      <c r="M31" s="45">
        <f>I31 / 12</f>
        <v>26085</v>
      </c>
      <c r="N31" s="47">
        <f>K31 / 12</f>
        <v>10585.000000000002</v>
      </c>
    </row>
    <row r="32" spans="2:14" ht="15.75" customHeight="1" x14ac:dyDescent="0.3"/>
    <row r="33" spans="1:14" ht="15.75" customHeight="1" x14ac:dyDescent="0.3"/>
    <row r="34" spans="1:14" ht="21" x14ac:dyDescent="0.4">
      <c r="B34" s="283" t="s">
        <v>267</v>
      </c>
      <c r="C34" s="284"/>
      <c r="D34" s="284"/>
      <c r="E34" s="284"/>
      <c r="F34" s="50" t="s">
        <v>53</v>
      </c>
      <c r="G34" s="50" t="s">
        <v>53</v>
      </c>
      <c r="H34" s="50" t="s">
        <v>53</v>
      </c>
      <c r="I34" s="50" t="s">
        <v>53</v>
      </c>
      <c r="J34" s="50" t="s">
        <v>53</v>
      </c>
      <c r="K34" s="50" t="s">
        <v>53</v>
      </c>
      <c r="L34" s="50" t="s">
        <v>53</v>
      </c>
      <c r="M34" s="50" t="s">
        <v>53</v>
      </c>
      <c r="N34" s="51" t="s">
        <v>53</v>
      </c>
    </row>
    <row r="35" spans="1:14" ht="43.2" x14ac:dyDescent="0.3">
      <c r="B35" s="33" t="s">
        <v>1</v>
      </c>
      <c r="C35" s="34" t="s">
        <v>3</v>
      </c>
      <c r="D35" s="34" t="s">
        <v>2</v>
      </c>
      <c r="E35" s="34" t="s">
        <v>4</v>
      </c>
      <c r="F35" s="34" t="s">
        <v>6</v>
      </c>
      <c r="G35" s="34" t="s">
        <v>5</v>
      </c>
      <c r="H35" s="34"/>
      <c r="I35" s="34" t="s">
        <v>19</v>
      </c>
      <c r="J35" s="34" t="s">
        <v>20</v>
      </c>
      <c r="K35" s="34" t="s">
        <v>21</v>
      </c>
      <c r="L35" s="35" t="s">
        <v>22</v>
      </c>
      <c r="M35" s="34" t="s">
        <v>23</v>
      </c>
      <c r="N35" s="36" t="s">
        <v>24</v>
      </c>
    </row>
    <row r="36" spans="1:14" ht="14.4" x14ac:dyDescent="0.3">
      <c r="B36" s="55">
        <v>0.13</v>
      </c>
      <c r="C36" s="59">
        <v>0.1</v>
      </c>
      <c r="D36" s="53">
        <v>0.12</v>
      </c>
      <c r="E36" s="53">
        <v>0.1</v>
      </c>
      <c r="F36" s="53">
        <v>0.25</v>
      </c>
      <c r="G36" s="54">
        <v>1880</v>
      </c>
      <c r="H36" s="37"/>
      <c r="I36" s="56">
        <v>166.5</v>
      </c>
      <c r="J36" s="29">
        <f>F39</f>
        <v>104.12234042553192</v>
      </c>
      <c r="K36" s="29">
        <f>I36 - J36</f>
        <v>62.377659574468083</v>
      </c>
      <c r="L36" s="29">
        <f>1000 / (G36 / 12)</f>
        <v>6.3829787234042561</v>
      </c>
      <c r="M36" s="54" t="s">
        <v>87</v>
      </c>
      <c r="N36" s="38">
        <f>_xlfn.IFS(M36 = "Yes",K36 - L36,M36 = "No",K36)</f>
        <v>55.994680851063826</v>
      </c>
    </row>
    <row r="37" spans="1:14" ht="14.4" x14ac:dyDescent="0.3"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1"/>
    </row>
    <row r="38" spans="1:14" ht="43.2" x14ac:dyDescent="0.3">
      <c r="A38" s="62"/>
      <c r="B38" s="33" t="s">
        <v>10</v>
      </c>
      <c r="C38" s="34" t="s">
        <v>11</v>
      </c>
      <c r="D38" s="34" t="s">
        <v>12</v>
      </c>
      <c r="E38" s="34" t="s">
        <v>13</v>
      </c>
      <c r="F38" s="34" t="s">
        <v>14</v>
      </c>
      <c r="G38" s="34" t="s">
        <v>15</v>
      </c>
      <c r="H38" s="34"/>
      <c r="I38" s="34" t="s">
        <v>26</v>
      </c>
      <c r="J38" s="34" t="s">
        <v>27</v>
      </c>
      <c r="K38" s="34" t="s">
        <v>28</v>
      </c>
      <c r="L38" s="30" t="s">
        <v>29</v>
      </c>
      <c r="M38" s="34" t="s">
        <v>30</v>
      </c>
      <c r="N38" s="36" t="s">
        <v>31</v>
      </c>
    </row>
    <row r="39" spans="1:14" ht="14.4" x14ac:dyDescent="0.3">
      <c r="A39" s="63"/>
      <c r="B39" s="52">
        <v>135000</v>
      </c>
      <c r="C39" s="42">
        <f>B39 / $G36</f>
        <v>71.808510638297875</v>
      </c>
      <c r="D39" s="43">
        <f>SUM($B36,$C36,$D36,$E36)</f>
        <v>0.44999999999999996</v>
      </c>
      <c r="E39" s="42">
        <f>(B39 * D39) / $G36</f>
        <v>32.313829787234042</v>
      </c>
      <c r="F39" s="42">
        <f>C39 + E39</f>
        <v>104.12234042553192</v>
      </c>
      <c r="G39" s="42">
        <f>F39 * (1+$F36)</f>
        <v>130.15292553191489</v>
      </c>
      <c r="H39" s="44"/>
      <c r="I39" s="45">
        <f>G36 * I36</f>
        <v>313020</v>
      </c>
      <c r="J39" s="45">
        <f>_xlfn.IFS(M36 = "Yes",G36 * (J36 + L36),M36 &lt;&gt; "Yes",G36 * (J36))</f>
        <v>207750</v>
      </c>
      <c r="K39" s="45">
        <f>I39 - J39</f>
        <v>105270</v>
      </c>
      <c r="L39" s="46">
        <f>K39 / I39</f>
        <v>0.33630438949587887</v>
      </c>
      <c r="M39" s="45">
        <f>I39 / 12</f>
        <v>26085</v>
      </c>
      <c r="N39" s="47">
        <f>K39 / 12</f>
        <v>8772.5</v>
      </c>
    </row>
    <row r="40" spans="1:14" ht="15.75" customHeight="1" x14ac:dyDescent="0.3"/>
    <row r="41" spans="1:14" ht="21" x14ac:dyDescent="0.4">
      <c r="B41" s="283" t="s">
        <v>268</v>
      </c>
      <c r="C41" s="284"/>
      <c r="D41" s="284"/>
      <c r="E41" s="284"/>
      <c r="F41" s="50" t="s">
        <v>53</v>
      </c>
      <c r="G41" s="50" t="s">
        <v>53</v>
      </c>
      <c r="H41" s="50" t="s">
        <v>53</v>
      </c>
      <c r="I41" s="50" t="s">
        <v>53</v>
      </c>
      <c r="J41" s="50" t="s">
        <v>53</v>
      </c>
      <c r="K41" s="50" t="s">
        <v>53</v>
      </c>
      <c r="L41" s="50" t="s">
        <v>53</v>
      </c>
      <c r="M41" s="50" t="s">
        <v>53</v>
      </c>
      <c r="N41" s="51" t="s">
        <v>53</v>
      </c>
    </row>
    <row r="42" spans="1:14" ht="43.2" x14ac:dyDescent="0.3">
      <c r="B42" s="33" t="s">
        <v>1</v>
      </c>
      <c r="C42" s="77" t="s">
        <v>3</v>
      </c>
      <c r="D42" s="77" t="s">
        <v>2</v>
      </c>
      <c r="E42" s="77" t="s">
        <v>4</v>
      </c>
      <c r="F42" s="77" t="s">
        <v>6</v>
      </c>
      <c r="G42" s="77" t="s">
        <v>5</v>
      </c>
      <c r="H42" s="77"/>
      <c r="I42" s="77" t="s">
        <v>19</v>
      </c>
      <c r="J42" s="77" t="s">
        <v>20</v>
      </c>
      <c r="K42" s="77" t="s">
        <v>21</v>
      </c>
      <c r="L42" s="78" t="s">
        <v>22</v>
      </c>
      <c r="M42" s="77" t="s">
        <v>23</v>
      </c>
      <c r="N42" s="36" t="s">
        <v>24</v>
      </c>
    </row>
    <row r="43" spans="1:14" ht="14.4" x14ac:dyDescent="0.3">
      <c r="B43" s="55">
        <v>0.13</v>
      </c>
      <c r="C43" s="79">
        <v>0.1</v>
      </c>
      <c r="D43" s="80">
        <v>0.12</v>
      </c>
      <c r="E43" s="80">
        <v>0.1</v>
      </c>
      <c r="F43" s="80">
        <v>0.25</v>
      </c>
      <c r="G43" s="81">
        <v>1880</v>
      </c>
      <c r="H43" s="25"/>
      <c r="I43" s="56">
        <v>166.5</v>
      </c>
      <c r="J43" s="83">
        <f>F46</f>
        <v>104.12234042553192</v>
      </c>
      <c r="K43" s="83">
        <f>I43 - J43</f>
        <v>62.377659574468083</v>
      </c>
      <c r="L43" s="83">
        <f>1000 / (G43 / 12)</f>
        <v>6.3829787234042561</v>
      </c>
      <c r="M43" s="81" t="s">
        <v>87</v>
      </c>
      <c r="N43" s="38">
        <f>_xlfn.IFS(M43 = "Yes",K43 - L43,M43 = "No",K43)</f>
        <v>55.994680851063826</v>
      </c>
    </row>
    <row r="44" spans="1:14" ht="14.4" x14ac:dyDescent="0.3">
      <c r="B44" s="39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41"/>
    </row>
    <row r="45" spans="1:14" ht="43.2" x14ac:dyDescent="0.3">
      <c r="A45" s="62"/>
      <c r="B45" s="33" t="s">
        <v>10</v>
      </c>
      <c r="C45" s="77" t="s">
        <v>11</v>
      </c>
      <c r="D45" s="77" t="s">
        <v>12</v>
      </c>
      <c r="E45" s="77" t="s">
        <v>13</v>
      </c>
      <c r="F45" s="77" t="s">
        <v>14</v>
      </c>
      <c r="G45" s="77" t="s">
        <v>15</v>
      </c>
      <c r="H45" s="77"/>
      <c r="I45" s="77" t="s">
        <v>26</v>
      </c>
      <c r="J45" s="77" t="s">
        <v>27</v>
      </c>
      <c r="K45" s="77" t="s">
        <v>28</v>
      </c>
      <c r="L45" s="85" t="s">
        <v>29</v>
      </c>
      <c r="M45" s="77" t="s">
        <v>30</v>
      </c>
      <c r="N45" s="36" t="s">
        <v>31</v>
      </c>
    </row>
    <row r="46" spans="1:14" ht="14.4" x14ac:dyDescent="0.3">
      <c r="A46" s="63"/>
      <c r="B46" s="52">
        <v>135000</v>
      </c>
      <c r="C46" s="42">
        <f>B46 / $G43</f>
        <v>71.808510638297875</v>
      </c>
      <c r="D46" s="43">
        <f>SUM($B43,$C43,$D43,$E43)</f>
        <v>0.44999999999999996</v>
      </c>
      <c r="E46" s="42">
        <f>(B46 * D46) / $G43</f>
        <v>32.313829787234042</v>
      </c>
      <c r="F46" s="42">
        <f>C46 + E46</f>
        <v>104.12234042553192</v>
      </c>
      <c r="G46" s="42">
        <f>F46 * (1+$F43)</f>
        <v>130.15292553191489</v>
      </c>
      <c r="H46" s="44"/>
      <c r="I46" s="45">
        <f>G43 * I43</f>
        <v>313020</v>
      </c>
      <c r="J46" s="45">
        <f>_xlfn.IFS(M43 = "Yes",G43 * (J43 + L43),M43 &lt;&gt; "Yes",G43 * (J43))</f>
        <v>207750</v>
      </c>
      <c r="K46" s="45">
        <f>I46 - J46</f>
        <v>105270</v>
      </c>
      <c r="L46" s="46">
        <f>K46 / I46</f>
        <v>0.33630438949587887</v>
      </c>
      <c r="M46" s="45">
        <f>I46 / 12</f>
        <v>26085</v>
      </c>
      <c r="N46" s="47">
        <f>K46 / 12</f>
        <v>8772.5</v>
      </c>
    </row>
    <row r="47" spans="1:14" ht="15.75" customHeight="1" x14ac:dyDescent="0.3"/>
    <row r="48" spans="1:14" ht="21" x14ac:dyDescent="0.4">
      <c r="B48" s="283" t="s">
        <v>269</v>
      </c>
      <c r="C48" s="284"/>
      <c r="D48" s="284"/>
      <c r="E48" s="284"/>
      <c r="F48" s="50" t="s">
        <v>53</v>
      </c>
      <c r="G48" s="50" t="s">
        <v>53</v>
      </c>
      <c r="H48" s="50" t="s">
        <v>53</v>
      </c>
      <c r="I48" s="50" t="s">
        <v>53</v>
      </c>
      <c r="J48" s="50" t="s">
        <v>53</v>
      </c>
      <c r="K48" s="50" t="s">
        <v>53</v>
      </c>
      <c r="L48" s="50" t="s">
        <v>53</v>
      </c>
      <c r="M48" s="50" t="s">
        <v>53</v>
      </c>
      <c r="N48" s="51" t="s">
        <v>53</v>
      </c>
    </row>
    <row r="49" spans="1:14" ht="43.2" x14ac:dyDescent="0.3">
      <c r="B49" s="33" t="s">
        <v>1</v>
      </c>
      <c r="C49" s="77" t="s">
        <v>3</v>
      </c>
      <c r="D49" s="77" t="s">
        <v>2</v>
      </c>
      <c r="E49" s="77" t="s">
        <v>4</v>
      </c>
      <c r="F49" s="77" t="s">
        <v>6</v>
      </c>
      <c r="G49" s="77" t="s">
        <v>5</v>
      </c>
      <c r="H49" s="77"/>
      <c r="I49" s="77" t="s">
        <v>19</v>
      </c>
      <c r="J49" s="77" t="s">
        <v>20</v>
      </c>
      <c r="K49" s="77" t="s">
        <v>21</v>
      </c>
      <c r="L49" s="78" t="s">
        <v>22</v>
      </c>
      <c r="M49" s="77" t="s">
        <v>23</v>
      </c>
      <c r="N49" s="36" t="s">
        <v>24</v>
      </c>
    </row>
    <row r="50" spans="1:14" ht="14.4" x14ac:dyDescent="0.3">
      <c r="B50" s="55">
        <v>0.13</v>
      </c>
      <c r="C50" s="79">
        <v>2.5000000000000001E-2</v>
      </c>
      <c r="D50" s="80">
        <v>0.12</v>
      </c>
      <c r="E50" s="80">
        <v>0.1</v>
      </c>
      <c r="F50" s="80">
        <v>0.25</v>
      </c>
      <c r="G50" s="81">
        <v>1880</v>
      </c>
      <c r="H50" s="25"/>
      <c r="I50" s="56">
        <v>166.5</v>
      </c>
      <c r="J50" s="83">
        <f>F53</f>
        <v>138.96276595744681</v>
      </c>
      <c r="K50" s="83">
        <f>I50 - J50</f>
        <v>27.537234042553195</v>
      </c>
      <c r="L50" s="83">
        <f>1000 / (G50 / 12)</f>
        <v>6.3829787234042561</v>
      </c>
      <c r="M50" s="81" t="s">
        <v>87</v>
      </c>
      <c r="N50" s="38">
        <f>_xlfn.IFS(M50 = "Yes",K50 - L50,M50 = "No",K50)</f>
        <v>21.154255319148938</v>
      </c>
    </row>
    <row r="51" spans="1:14" ht="14.4" x14ac:dyDescent="0.3">
      <c r="B51" s="39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41"/>
    </row>
    <row r="52" spans="1:14" ht="43.2" x14ac:dyDescent="0.3">
      <c r="A52" s="62"/>
      <c r="B52" s="33" t="s">
        <v>10</v>
      </c>
      <c r="C52" s="77" t="s">
        <v>11</v>
      </c>
      <c r="D52" s="77" t="s">
        <v>12</v>
      </c>
      <c r="E52" s="77" t="s">
        <v>13</v>
      </c>
      <c r="F52" s="77" t="s">
        <v>14</v>
      </c>
      <c r="G52" s="77" t="s">
        <v>15</v>
      </c>
      <c r="H52" s="77"/>
      <c r="I52" s="77" t="s">
        <v>26</v>
      </c>
      <c r="J52" s="77" t="s">
        <v>27</v>
      </c>
      <c r="K52" s="77" t="s">
        <v>28</v>
      </c>
      <c r="L52" s="85" t="s">
        <v>29</v>
      </c>
      <c r="M52" s="77" t="s">
        <v>30</v>
      </c>
      <c r="N52" s="36" t="s">
        <v>31</v>
      </c>
    </row>
    <row r="53" spans="1:14" ht="14.4" x14ac:dyDescent="0.3">
      <c r="A53" s="63"/>
      <c r="B53" s="52">
        <v>190000</v>
      </c>
      <c r="C53" s="42">
        <f>B53 / $G50</f>
        <v>101.06382978723404</v>
      </c>
      <c r="D53" s="43">
        <f>SUM($B50,$C50,$D50,$E50)</f>
        <v>0.375</v>
      </c>
      <c r="E53" s="42">
        <f>(B53 * D53) / $G50</f>
        <v>37.898936170212764</v>
      </c>
      <c r="F53" s="42">
        <f>C53 + E53</f>
        <v>138.96276595744681</v>
      </c>
      <c r="G53" s="42">
        <f>F53 * (1+$F50)</f>
        <v>173.7034574468085</v>
      </c>
      <c r="H53" s="44"/>
      <c r="I53" s="45">
        <f>G50 * I50</f>
        <v>313020</v>
      </c>
      <c r="J53" s="45">
        <f>_xlfn.IFS(M50 = "Yes",G50 * (J50 + L50),M50 &lt;&gt; "Yes",G50 * (J50))</f>
        <v>273250</v>
      </c>
      <c r="K53" s="45">
        <f>I53 - J53</f>
        <v>39770</v>
      </c>
      <c r="L53" s="46">
        <f>K53 / I53</f>
        <v>0.12705258449939302</v>
      </c>
      <c r="M53" s="45">
        <f>I53 / 12</f>
        <v>26085</v>
      </c>
      <c r="N53" s="47">
        <f>K53 / 12</f>
        <v>3314.1666666666665</v>
      </c>
    </row>
    <row r="54" spans="1:14" ht="15.75" customHeight="1" x14ac:dyDescent="0.3"/>
    <row r="55" spans="1:14" ht="15.75" customHeight="1" x14ac:dyDescent="0.3"/>
    <row r="56" spans="1:14" ht="21" x14ac:dyDescent="0.4">
      <c r="B56" s="283" t="s">
        <v>114</v>
      </c>
      <c r="C56" s="284"/>
      <c r="D56" s="284"/>
      <c r="E56" s="284"/>
      <c r="F56" s="50" t="s">
        <v>53</v>
      </c>
      <c r="G56" s="50" t="s">
        <v>53</v>
      </c>
      <c r="H56" s="50" t="s">
        <v>53</v>
      </c>
      <c r="I56" s="50" t="s">
        <v>53</v>
      </c>
      <c r="J56" s="50" t="s">
        <v>53</v>
      </c>
      <c r="K56" s="50" t="s">
        <v>53</v>
      </c>
      <c r="L56" s="50" t="s">
        <v>53</v>
      </c>
      <c r="M56" s="50" t="s">
        <v>53</v>
      </c>
      <c r="N56" s="51" t="s">
        <v>53</v>
      </c>
    </row>
    <row r="57" spans="1:14" ht="43.2" x14ac:dyDescent="0.3">
      <c r="B57" s="33" t="s">
        <v>1</v>
      </c>
      <c r="C57" s="77" t="s">
        <v>3</v>
      </c>
      <c r="D57" s="77" t="s">
        <v>2</v>
      </c>
      <c r="E57" s="77" t="s">
        <v>4</v>
      </c>
      <c r="F57" s="77" t="s">
        <v>6</v>
      </c>
      <c r="G57" s="77" t="s">
        <v>5</v>
      </c>
      <c r="H57" s="77"/>
      <c r="I57" s="77" t="s">
        <v>19</v>
      </c>
      <c r="J57" s="77" t="s">
        <v>20</v>
      </c>
      <c r="K57" s="77" t="s">
        <v>21</v>
      </c>
      <c r="L57" s="78" t="s">
        <v>22</v>
      </c>
      <c r="M57" s="77" t="s">
        <v>23</v>
      </c>
      <c r="N57" s="36" t="s">
        <v>24</v>
      </c>
    </row>
    <row r="58" spans="1:14" ht="14.4" x14ac:dyDescent="0.3">
      <c r="B58" s="55">
        <v>0.13</v>
      </c>
      <c r="C58" s="79">
        <v>0.1</v>
      </c>
      <c r="D58" s="80">
        <v>0.12</v>
      </c>
      <c r="E58" s="80">
        <v>0.1</v>
      </c>
      <c r="F58" s="80">
        <v>0.25</v>
      </c>
      <c r="G58" s="81">
        <v>1880</v>
      </c>
      <c r="H58" s="25"/>
      <c r="I58" s="56">
        <v>166.5</v>
      </c>
      <c r="J58" s="83">
        <f>F61</f>
        <v>119.54787234042553</v>
      </c>
      <c r="K58" s="83">
        <f>I58 - J58</f>
        <v>46.952127659574472</v>
      </c>
      <c r="L58" s="83">
        <f>1000 / (G58 / 12)</f>
        <v>6.3829787234042561</v>
      </c>
      <c r="M58" s="81" t="s">
        <v>87</v>
      </c>
      <c r="N58" s="38">
        <f>_xlfn.IFS(M58 = "Yes",K58 - L58,M58 = "No",K58)</f>
        <v>40.569148936170215</v>
      </c>
    </row>
    <row r="59" spans="1:14" ht="14.4" x14ac:dyDescent="0.3">
      <c r="B59" s="39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41"/>
    </row>
    <row r="60" spans="1:14" ht="43.2" x14ac:dyDescent="0.3">
      <c r="A60" s="62"/>
      <c r="B60" s="33" t="s">
        <v>10</v>
      </c>
      <c r="C60" s="77" t="s">
        <v>11</v>
      </c>
      <c r="D60" s="77" t="s">
        <v>12</v>
      </c>
      <c r="E60" s="77" t="s">
        <v>13</v>
      </c>
      <c r="F60" s="77" t="s">
        <v>14</v>
      </c>
      <c r="G60" s="77" t="s">
        <v>15</v>
      </c>
      <c r="H60" s="77"/>
      <c r="I60" s="77" t="s">
        <v>26</v>
      </c>
      <c r="J60" s="77" t="s">
        <v>27</v>
      </c>
      <c r="K60" s="77" t="s">
        <v>28</v>
      </c>
      <c r="L60" s="85" t="s">
        <v>29</v>
      </c>
      <c r="M60" s="77" t="s">
        <v>30</v>
      </c>
      <c r="N60" s="36" t="s">
        <v>31</v>
      </c>
    </row>
    <row r="61" spans="1:14" ht="14.4" x14ac:dyDescent="0.3">
      <c r="A61" s="63"/>
      <c r="B61" s="52">
        <v>155000</v>
      </c>
      <c r="C61" s="42">
        <f>B61 / $G58</f>
        <v>82.446808510638292</v>
      </c>
      <c r="D61" s="43">
        <f>SUM($B58,$C58,$D58,$E58)</f>
        <v>0.44999999999999996</v>
      </c>
      <c r="E61" s="42">
        <f>(B61 * D61) / $G58</f>
        <v>37.101063829787236</v>
      </c>
      <c r="F61" s="42">
        <f>C61 + E61</f>
        <v>119.54787234042553</v>
      </c>
      <c r="G61" s="42">
        <f>F61 * (1+$F58)</f>
        <v>149.43484042553192</v>
      </c>
      <c r="H61" s="44"/>
      <c r="I61" s="45">
        <f>G58 * I58</f>
        <v>313020</v>
      </c>
      <c r="J61" s="45">
        <f>_xlfn.IFS(M58 = "Yes",G58 * (J58 + L58),M58 &lt;&gt; "Yes",G58 * (J58))</f>
        <v>236749.99999999997</v>
      </c>
      <c r="K61" s="45">
        <f>I61 - J61</f>
        <v>76270.000000000029</v>
      </c>
      <c r="L61" s="46">
        <f>K61 / I61</f>
        <v>0.24365855216919055</v>
      </c>
      <c r="M61" s="45">
        <f>I61 / 12</f>
        <v>26085</v>
      </c>
      <c r="N61" s="47">
        <f>K61 / 12</f>
        <v>6355.8333333333358</v>
      </c>
    </row>
    <row r="62" spans="1:14" ht="15.75" customHeight="1" x14ac:dyDescent="0.3"/>
    <row r="63" spans="1:14" ht="15.75" customHeight="1" x14ac:dyDescent="0.3"/>
    <row r="64" spans="1:14" ht="15.75" customHeight="1" x14ac:dyDescent="0.45">
      <c r="B64" s="76" t="s">
        <v>270</v>
      </c>
    </row>
    <row r="65" spans="2:15" ht="21" x14ac:dyDescent="0.4">
      <c r="B65" s="283" t="s">
        <v>93</v>
      </c>
      <c r="C65" s="284"/>
      <c r="D65" s="284"/>
      <c r="E65" s="284"/>
      <c r="F65" s="50" t="s">
        <v>53</v>
      </c>
      <c r="G65" s="50" t="s">
        <v>53</v>
      </c>
      <c r="H65" s="50" t="s">
        <v>53</v>
      </c>
      <c r="I65" s="50" t="s">
        <v>53</v>
      </c>
      <c r="J65" s="50" t="s">
        <v>53</v>
      </c>
      <c r="K65" s="50" t="s">
        <v>53</v>
      </c>
      <c r="L65" s="50" t="s">
        <v>53</v>
      </c>
      <c r="M65" s="50" t="s">
        <v>53</v>
      </c>
      <c r="N65" s="51" t="s">
        <v>53</v>
      </c>
    </row>
    <row r="66" spans="2:15" ht="43.2" x14ac:dyDescent="0.3">
      <c r="B66" s="33" t="s">
        <v>1</v>
      </c>
      <c r="C66" s="34" t="s">
        <v>3</v>
      </c>
      <c r="D66" s="34" t="s">
        <v>2</v>
      </c>
      <c r="E66" s="34" t="s">
        <v>4</v>
      </c>
      <c r="F66" s="34" t="s">
        <v>6</v>
      </c>
      <c r="G66" s="34" t="s">
        <v>5</v>
      </c>
      <c r="H66" s="34"/>
      <c r="I66" s="34" t="s">
        <v>19</v>
      </c>
      <c r="J66" s="34" t="s">
        <v>20</v>
      </c>
      <c r="K66" s="34" t="s">
        <v>21</v>
      </c>
      <c r="L66" s="35" t="s">
        <v>22</v>
      </c>
      <c r="M66" s="34" t="s">
        <v>23</v>
      </c>
      <c r="N66" s="36" t="s">
        <v>24</v>
      </c>
    </row>
    <row r="67" spans="2:15" ht="14.4" x14ac:dyDescent="0.3">
      <c r="B67" s="55">
        <v>0.05</v>
      </c>
      <c r="C67" s="59">
        <v>0.1</v>
      </c>
      <c r="D67" s="53">
        <v>0.12</v>
      </c>
      <c r="E67" s="53">
        <v>0.1</v>
      </c>
      <c r="F67" s="53">
        <v>0.25</v>
      </c>
      <c r="G67" s="54">
        <v>1880</v>
      </c>
      <c r="H67" s="37"/>
      <c r="I67" s="56">
        <v>166.5</v>
      </c>
      <c r="J67" s="29">
        <f>F70</f>
        <v>85.989361702127667</v>
      </c>
      <c r="K67" s="29">
        <f>I67 - J67</f>
        <v>80.510638297872333</v>
      </c>
      <c r="L67" s="29">
        <f>1000 / (G67 / 12)</f>
        <v>6.3829787234042561</v>
      </c>
      <c r="M67" s="54" t="s">
        <v>32</v>
      </c>
      <c r="N67" s="38">
        <f>_xlfn.IFS(M67 = "Yes",K67 - L67,M67 = "No",K67)</f>
        <v>80.510638297872333</v>
      </c>
    </row>
    <row r="68" spans="2:15" ht="14.4" x14ac:dyDescent="0.3">
      <c r="B68" s="39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1"/>
    </row>
    <row r="69" spans="2:15" ht="43.2" x14ac:dyDescent="0.3">
      <c r="B69" s="33" t="s">
        <v>10</v>
      </c>
      <c r="C69" s="34" t="s">
        <v>11</v>
      </c>
      <c r="D69" s="34" t="s">
        <v>12</v>
      </c>
      <c r="E69" s="34" t="s">
        <v>13</v>
      </c>
      <c r="F69" s="34" t="s">
        <v>14</v>
      </c>
      <c r="G69" s="34" t="s">
        <v>15</v>
      </c>
      <c r="H69" s="34"/>
      <c r="I69" s="34" t="s">
        <v>26</v>
      </c>
      <c r="J69" s="34" t="s">
        <v>27</v>
      </c>
      <c r="K69" s="34" t="s">
        <v>28</v>
      </c>
      <c r="L69" s="30" t="s">
        <v>29</v>
      </c>
      <c r="M69" s="34" t="s">
        <v>30</v>
      </c>
      <c r="N69" s="36" t="s">
        <v>31</v>
      </c>
    </row>
    <row r="70" spans="2:15" ht="14.4" x14ac:dyDescent="0.3">
      <c r="B70" s="52">
        <v>118000</v>
      </c>
      <c r="C70" s="42">
        <f>B70 / $G67</f>
        <v>62.765957446808514</v>
      </c>
      <c r="D70" s="43">
        <f>SUM($B67,$C67,$D67,$E67)</f>
        <v>0.37</v>
      </c>
      <c r="E70" s="42">
        <f>(B70 * D70) / $G67</f>
        <v>23.223404255319149</v>
      </c>
      <c r="F70" s="42">
        <f>C70 + E70</f>
        <v>85.989361702127667</v>
      </c>
      <c r="G70" s="42">
        <f>F70 * (1+$F67)</f>
        <v>107.48670212765958</v>
      </c>
      <c r="H70" s="44"/>
      <c r="I70" s="45">
        <f>G67 * I67</f>
        <v>313020</v>
      </c>
      <c r="J70" s="45">
        <f>_xlfn.IFS(M67 = "Yes",G67 * (J67 + L67),M67 &lt;&gt; "Yes",G67 * (J67))</f>
        <v>161660</v>
      </c>
      <c r="K70" s="45">
        <f>I70 - J70</f>
        <v>151360</v>
      </c>
      <c r="L70" s="46">
        <f>K70 / I70</f>
        <v>0.48354737716439844</v>
      </c>
      <c r="M70" s="45">
        <f>I70 / 12</f>
        <v>26085</v>
      </c>
      <c r="N70" s="47">
        <f>K70 / 12</f>
        <v>12613.333333333334</v>
      </c>
      <c r="O70" s="61"/>
    </row>
    <row r="71" spans="2:15" ht="15.75" customHeight="1" x14ac:dyDescent="0.3"/>
    <row r="72" spans="2:15" ht="15.75" customHeight="1" x14ac:dyDescent="0.3"/>
    <row r="73" spans="2:15" ht="21" x14ac:dyDescent="0.4">
      <c r="B73" s="283" t="s">
        <v>271</v>
      </c>
      <c r="C73" s="284"/>
      <c r="D73" s="284" t="s">
        <v>53</v>
      </c>
      <c r="E73" s="284" t="s">
        <v>53</v>
      </c>
      <c r="F73" s="50" t="s">
        <v>53</v>
      </c>
      <c r="G73" s="50" t="s">
        <v>53</v>
      </c>
      <c r="H73" s="50" t="s">
        <v>53</v>
      </c>
      <c r="I73" s="50" t="s">
        <v>53</v>
      </c>
      <c r="J73" s="50" t="s">
        <v>53</v>
      </c>
      <c r="K73" s="50" t="s">
        <v>53</v>
      </c>
      <c r="L73" s="50" t="s">
        <v>53</v>
      </c>
      <c r="M73" s="50" t="s">
        <v>53</v>
      </c>
      <c r="N73" s="51" t="s">
        <v>53</v>
      </c>
    </row>
    <row r="74" spans="2:15" ht="43.2" x14ac:dyDescent="0.3">
      <c r="B74" s="33" t="s">
        <v>1</v>
      </c>
      <c r="C74" s="34" t="s">
        <v>3</v>
      </c>
      <c r="D74" s="34" t="s">
        <v>2</v>
      </c>
      <c r="E74" s="34" t="s">
        <v>4</v>
      </c>
      <c r="F74" s="34" t="s">
        <v>6</v>
      </c>
      <c r="G74" s="34" t="s">
        <v>5</v>
      </c>
      <c r="H74" s="34"/>
      <c r="I74" s="34" t="s">
        <v>19</v>
      </c>
      <c r="J74" s="34" t="s">
        <v>20</v>
      </c>
      <c r="K74" s="34" t="s">
        <v>21</v>
      </c>
      <c r="L74" s="35" t="s">
        <v>22</v>
      </c>
      <c r="M74" s="34" t="s">
        <v>23</v>
      </c>
      <c r="N74" s="36" t="s">
        <v>24</v>
      </c>
    </row>
    <row r="75" spans="2:15" ht="14.4" x14ac:dyDescent="0.3">
      <c r="B75" s="55">
        <v>0.13</v>
      </c>
      <c r="C75" s="59">
        <v>0.1</v>
      </c>
      <c r="D75" s="53">
        <v>0.12</v>
      </c>
      <c r="E75" s="53">
        <v>0.1</v>
      </c>
      <c r="F75" s="53">
        <v>0.25</v>
      </c>
      <c r="G75" s="54">
        <v>1880</v>
      </c>
      <c r="H75" s="37"/>
      <c r="I75" s="56">
        <v>112</v>
      </c>
      <c r="J75" s="29">
        <f>F78</f>
        <v>88.696808510638292</v>
      </c>
      <c r="K75" s="29">
        <f>I75 - J75</f>
        <v>23.303191489361708</v>
      </c>
      <c r="L75" s="29">
        <f>1000 / (G75 / 12)</f>
        <v>6.3829787234042561</v>
      </c>
      <c r="M75" s="54" t="s">
        <v>87</v>
      </c>
      <c r="N75" s="38">
        <f>_xlfn.IFS(M75 = "Yes",K75 - L75,M75 = "No",K75)</f>
        <v>16.920212765957451</v>
      </c>
    </row>
    <row r="76" spans="2:15" ht="14.4" x14ac:dyDescent="0.3">
      <c r="B76" s="39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1"/>
    </row>
    <row r="77" spans="2:15" ht="43.2" x14ac:dyDescent="0.3">
      <c r="B77" s="33" t="s">
        <v>10</v>
      </c>
      <c r="C77" s="34" t="s">
        <v>11</v>
      </c>
      <c r="D77" s="34" t="s">
        <v>12</v>
      </c>
      <c r="E77" s="34" t="s">
        <v>13</v>
      </c>
      <c r="F77" s="34" t="s">
        <v>14</v>
      </c>
      <c r="G77" s="34" t="s">
        <v>15</v>
      </c>
      <c r="H77" s="34"/>
      <c r="I77" s="34" t="s">
        <v>26</v>
      </c>
      <c r="J77" s="34" t="s">
        <v>27</v>
      </c>
      <c r="K77" s="34" t="s">
        <v>28</v>
      </c>
      <c r="L77" s="30" t="s">
        <v>29</v>
      </c>
      <c r="M77" s="34" t="s">
        <v>30</v>
      </c>
      <c r="N77" s="36" t="s">
        <v>31</v>
      </c>
    </row>
    <row r="78" spans="2:15" ht="14.4" x14ac:dyDescent="0.3">
      <c r="B78" s="52">
        <v>115000</v>
      </c>
      <c r="C78" s="42">
        <f>B78 / $G75</f>
        <v>61.170212765957444</v>
      </c>
      <c r="D78" s="43">
        <f>SUM($B75,$C75,$D75,$E75)</f>
        <v>0.44999999999999996</v>
      </c>
      <c r="E78" s="42">
        <f>(B78 * D78) / $G75</f>
        <v>27.526595744680847</v>
      </c>
      <c r="F78" s="42">
        <f>C78 + E78</f>
        <v>88.696808510638292</v>
      </c>
      <c r="G78" s="42">
        <f>F78 * (1+$F75)</f>
        <v>110.87101063829786</v>
      </c>
      <c r="H78" s="44"/>
      <c r="I78" s="45">
        <f>G75 * I75</f>
        <v>210560</v>
      </c>
      <c r="J78" s="45">
        <f>_xlfn.IFS(M75 = "Yes",G75 * (J75 + L75),M75 &lt;&gt; "Yes",G75 * (J75))</f>
        <v>178749.99999999997</v>
      </c>
      <c r="K78" s="45">
        <f>I78 - J78</f>
        <v>31810.000000000029</v>
      </c>
      <c r="L78" s="46">
        <f>K78 / I78</f>
        <v>0.15107332826747735</v>
      </c>
      <c r="M78" s="45">
        <f>I78 / 12</f>
        <v>17546.666666666668</v>
      </c>
      <c r="N78" s="47">
        <f>K78 / 12</f>
        <v>2650.8333333333358</v>
      </c>
    </row>
    <row r="79" spans="2:15" ht="15.75" customHeight="1" x14ac:dyDescent="0.3">
      <c r="B79" s="64"/>
    </row>
    <row r="80" spans="2:15" ht="15.75" customHeight="1" x14ac:dyDescent="0.3">
      <c r="B80" s="63"/>
    </row>
    <row r="81" spans="2:14" ht="21" x14ac:dyDescent="0.4">
      <c r="B81" s="283" t="s">
        <v>272</v>
      </c>
      <c r="C81" s="284"/>
      <c r="D81" s="284" t="s">
        <v>53</v>
      </c>
      <c r="E81" s="284" t="s">
        <v>53</v>
      </c>
      <c r="F81" s="50" t="s">
        <v>53</v>
      </c>
      <c r="G81" s="50" t="s">
        <v>53</v>
      </c>
      <c r="H81" s="50" t="s">
        <v>53</v>
      </c>
      <c r="I81" s="50" t="s">
        <v>53</v>
      </c>
      <c r="J81" s="50" t="s">
        <v>53</v>
      </c>
      <c r="K81" s="50" t="s">
        <v>53</v>
      </c>
      <c r="L81" s="50" t="s">
        <v>53</v>
      </c>
      <c r="M81" s="50" t="s">
        <v>53</v>
      </c>
      <c r="N81" s="51" t="s">
        <v>53</v>
      </c>
    </row>
    <row r="82" spans="2:14" ht="43.2" x14ac:dyDescent="0.3">
      <c r="B82" s="33" t="s">
        <v>1</v>
      </c>
      <c r="C82" s="34" t="s">
        <v>3</v>
      </c>
      <c r="D82" s="34" t="s">
        <v>2</v>
      </c>
      <c r="E82" s="34" t="s">
        <v>4</v>
      </c>
      <c r="F82" s="34" t="s">
        <v>6</v>
      </c>
      <c r="G82" s="34" t="s">
        <v>5</v>
      </c>
      <c r="H82" s="34"/>
      <c r="I82" s="34" t="s">
        <v>19</v>
      </c>
      <c r="J82" s="34" t="s">
        <v>20</v>
      </c>
      <c r="K82" s="34" t="s">
        <v>21</v>
      </c>
      <c r="L82" s="35" t="s">
        <v>22</v>
      </c>
      <c r="M82" s="34" t="s">
        <v>23</v>
      </c>
      <c r="N82" s="36" t="s">
        <v>24</v>
      </c>
    </row>
    <row r="83" spans="2:14" ht="14.4" x14ac:dyDescent="0.3">
      <c r="B83" s="55">
        <v>0.13</v>
      </c>
      <c r="C83" s="59">
        <v>0.1</v>
      </c>
      <c r="D83" s="53">
        <v>0.12</v>
      </c>
      <c r="E83" s="53">
        <v>0.1</v>
      </c>
      <c r="F83" s="53">
        <v>0.25</v>
      </c>
      <c r="G83" s="54">
        <v>1880</v>
      </c>
      <c r="H83" s="37"/>
      <c r="I83" s="56">
        <v>112</v>
      </c>
      <c r="J83" s="29">
        <f>F86</f>
        <v>77.127659574468083</v>
      </c>
      <c r="K83" s="29">
        <f>I83 - J83</f>
        <v>34.872340425531917</v>
      </c>
      <c r="L83" s="29">
        <f>1000 / (G83 / 12)</f>
        <v>6.3829787234042561</v>
      </c>
      <c r="M83" s="54" t="s">
        <v>87</v>
      </c>
      <c r="N83" s="38">
        <f>_xlfn.IFS(M83 = "Yes",K83 - L83,M83 = "No",K83)</f>
        <v>28.48936170212766</v>
      </c>
    </row>
    <row r="84" spans="2:14" ht="14.4" x14ac:dyDescent="0.3">
      <c r="B84" s="39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1"/>
    </row>
    <row r="85" spans="2:14" ht="43.2" x14ac:dyDescent="0.3">
      <c r="B85" s="33" t="s">
        <v>10</v>
      </c>
      <c r="C85" s="34" t="s">
        <v>11</v>
      </c>
      <c r="D85" s="34" t="s">
        <v>12</v>
      </c>
      <c r="E85" s="34" t="s">
        <v>13</v>
      </c>
      <c r="F85" s="34" t="s">
        <v>14</v>
      </c>
      <c r="G85" s="34" t="s">
        <v>15</v>
      </c>
      <c r="H85" s="34"/>
      <c r="I85" s="34" t="s">
        <v>26</v>
      </c>
      <c r="J85" s="34" t="s">
        <v>27</v>
      </c>
      <c r="K85" s="34" t="s">
        <v>28</v>
      </c>
      <c r="L85" s="30" t="s">
        <v>29</v>
      </c>
      <c r="M85" s="34" t="s">
        <v>30</v>
      </c>
      <c r="N85" s="36" t="s">
        <v>31</v>
      </c>
    </row>
    <row r="86" spans="2:14" ht="14.4" x14ac:dyDescent="0.3">
      <c r="B86" s="52">
        <v>100000</v>
      </c>
      <c r="C86" s="42">
        <f>B86 / $G83</f>
        <v>53.191489361702125</v>
      </c>
      <c r="D86" s="43">
        <f>SUM($B83,$C83,$D83,$E83)</f>
        <v>0.44999999999999996</v>
      </c>
      <c r="E86" s="42">
        <f>(B86 * D86) / $G83</f>
        <v>23.936170212765955</v>
      </c>
      <c r="F86" s="42">
        <f>C86 + E86</f>
        <v>77.127659574468083</v>
      </c>
      <c r="G86" s="42">
        <f>F86 * (1+$F83)</f>
        <v>96.409574468085111</v>
      </c>
      <c r="H86" s="44"/>
      <c r="I86" s="45">
        <f>G83 * I83</f>
        <v>210560</v>
      </c>
      <c r="J86" s="45">
        <f>_xlfn.IFS(M83 = "Yes",G83 * (J83 + L83),M83 &lt;&gt; "Yes",G83 * (J83))</f>
        <v>157000</v>
      </c>
      <c r="K86" s="45">
        <f>I86 - J86</f>
        <v>53560</v>
      </c>
      <c r="L86" s="46">
        <f>K86 / I86</f>
        <v>0.25436930091185411</v>
      </c>
      <c r="M86" s="45">
        <f>I86 / 12</f>
        <v>17546.666666666668</v>
      </c>
      <c r="N86" s="47">
        <f>K86 / 12</f>
        <v>4463.333333333333</v>
      </c>
    </row>
    <row r="87" spans="2:14" ht="15.75" customHeight="1" x14ac:dyDescent="0.3"/>
    <row r="88" spans="2:14" ht="15.75" customHeight="1" x14ac:dyDescent="0.3"/>
    <row r="89" spans="2:14" ht="21" x14ac:dyDescent="0.4">
      <c r="B89" s="283" t="s">
        <v>90</v>
      </c>
      <c r="C89" s="284"/>
      <c r="D89" s="284"/>
      <c r="E89" s="284"/>
      <c r="F89" s="50"/>
      <c r="G89" s="50"/>
      <c r="H89" s="50"/>
      <c r="I89" s="50"/>
      <c r="J89" s="50"/>
      <c r="K89" s="50"/>
      <c r="L89" s="50"/>
      <c r="M89" s="50"/>
      <c r="N89" s="51"/>
    </row>
    <row r="90" spans="2:14" ht="43.2" x14ac:dyDescent="0.3">
      <c r="B90" s="33" t="s">
        <v>1</v>
      </c>
      <c r="C90" s="34" t="s">
        <v>3</v>
      </c>
      <c r="D90" s="34" t="s">
        <v>2</v>
      </c>
      <c r="E90" s="34" t="s">
        <v>4</v>
      </c>
      <c r="F90" s="34" t="s">
        <v>6</v>
      </c>
      <c r="G90" s="34" t="s">
        <v>5</v>
      </c>
      <c r="H90" s="34"/>
      <c r="I90" s="34" t="s">
        <v>19</v>
      </c>
      <c r="J90" s="34" t="s">
        <v>20</v>
      </c>
      <c r="K90" s="34" t="s">
        <v>21</v>
      </c>
      <c r="L90" s="35" t="s">
        <v>22</v>
      </c>
      <c r="M90" s="34" t="s">
        <v>23</v>
      </c>
      <c r="N90" s="36" t="s">
        <v>24</v>
      </c>
    </row>
    <row r="91" spans="2:14" ht="14.4" x14ac:dyDescent="0.3">
      <c r="B91" s="55">
        <v>0.05</v>
      </c>
      <c r="C91" s="59">
        <v>0.1</v>
      </c>
      <c r="D91" s="53">
        <v>0.12</v>
      </c>
      <c r="E91" s="53">
        <v>0.1</v>
      </c>
      <c r="F91" s="53">
        <v>0.25</v>
      </c>
      <c r="G91" s="54">
        <v>1880</v>
      </c>
      <c r="H91" s="37"/>
      <c r="I91" s="56">
        <v>166.5</v>
      </c>
      <c r="J91" s="29">
        <f>F94</f>
        <v>102.02127659574467</v>
      </c>
      <c r="K91" s="29">
        <f>I91 - J91</f>
        <v>64.478723404255334</v>
      </c>
      <c r="L91" s="29">
        <f>1000 / (G91 / 12)</f>
        <v>6.3829787234042561</v>
      </c>
      <c r="M91" s="54" t="s">
        <v>25</v>
      </c>
      <c r="N91" s="38">
        <f>_xlfn.IFS(M91 = "Yes",K91 - L91,M91 = "No",K91)</f>
        <v>58.095744680851077</v>
      </c>
    </row>
    <row r="92" spans="2:14" ht="14.4" x14ac:dyDescent="0.3">
      <c r="B92" s="39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1"/>
    </row>
    <row r="93" spans="2:14" ht="43.2" x14ac:dyDescent="0.3">
      <c r="B93" s="33" t="s">
        <v>10</v>
      </c>
      <c r="C93" s="34" t="s">
        <v>11</v>
      </c>
      <c r="D93" s="34" t="s">
        <v>12</v>
      </c>
      <c r="E93" s="34" t="s">
        <v>13</v>
      </c>
      <c r="F93" s="34" t="s">
        <v>14</v>
      </c>
      <c r="G93" s="34" t="s">
        <v>15</v>
      </c>
      <c r="H93" s="34"/>
      <c r="I93" s="34" t="s">
        <v>26</v>
      </c>
      <c r="J93" s="34" t="s">
        <v>27</v>
      </c>
      <c r="K93" s="34" t="s">
        <v>28</v>
      </c>
      <c r="L93" s="30" t="s">
        <v>29</v>
      </c>
      <c r="M93" s="34" t="s">
        <v>30</v>
      </c>
      <c r="N93" s="36" t="s">
        <v>31</v>
      </c>
    </row>
    <row r="94" spans="2:14" ht="14.4" x14ac:dyDescent="0.3">
      <c r="B94" s="52">
        <v>140000</v>
      </c>
      <c r="C94" s="42">
        <f>B94 / $G91</f>
        <v>74.468085106382972</v>
      </c>
      <c r="D94" s="43">
        <f>SUM($B91,$C91,$D91,$E91)</f>
        <v>0.37</v>
      </c>
      <c r="E94" s="42">
        <f>(B94 * D94) / $G91</f>
        <v>27.553191489361701</v>
      </c>
      <c r="F94" s="42">
        <f>C94 + E94</f>
        <v>102.02127659574467</v>
      </c>
      <c r="G94" s="42">
        <f>F94 * (1+$F91)</f>
        <v>127.52659574468083</v>
      </c>
      <c r="H94" s="44"/>
      <c r="I94" s="45">
        <f>G91 * I91</f>
        <v>313020</v>
      </c>
      <c r="J94" s="45">
        <f>_xlfn.IFS(M91 = "Yes",G91 * (J91 + L91),M91 &lt;&gt; "Yes",G91 * (J91))</f>
        <v>203799.99999999997</v>
      </c>
      <c r="K94" s="45">
        <f>I94 - J94</f>
        <v>109220.00000000003</v>
      </c>
      <c r="L94" s="46">
        <f>K94 / I94</f>
        <v>0.34892339147658308</v>
      </c>
      <c r="M94" s="45">
        <f>I94 / 12</f>
        <v>26085</v>
      </c>
      <c r="N94" s="47">
        <f>K94 / 12</f>
        <v>9101.6666666666697</v>
      </c>
    </row>
    <row r="95" spans="2:14" ht="15.75" customHeight="1" x14ac:dyDescent="0.3">
      <c r="B95" s="64"/>
    </row>
    <row r="96" spans="2:14" ht="15.75" customHeight="1" x14ac:dyDescent="0.3"/>
    <row r="97" spans="2:14" ht="21" x14ac:dyDescent="0.4">
      <c r="B97" s="283" t="s">
        <v>273</v>
      </c>
      <c r="C97" s="284"/>
      <c r="D97" s="284"/>
      <c r="E97" s="284"/>
      <c r="F97" s="50"/>
      <c r="G97" s="50"/>
      <c r="H97" s="50"/>
      <c r="I97" s="50"/>
      <c r="J97" s="50"/>
      <c r="K97" s="50"/>
      <c r="L97" s="50"/>
      <c r="M97" s="50"/>
      <c r="N97" s="51"/>
    </row>
    <row r="98" spans="2:14" ht="43.2" x14ac:dyDescent="0.3">
      <c r="B98" s="33" t="s">
        <v>1</v>
      </c>
      <c r="C98" s="34" t="s">
        <v>3</v>
      </c>
      <c r="D98" s="34" t="s">
        <v>2</v>
      </c>
      <c r="E98" s="34" t="s">
        <v>4</v>
      </c>
      <c r="F98" s="34" t="s">
        <v>6</v>
      </c>
      <c r="G98" s="34" t="s">
        <v>5</v>
      </c>
      <c r="H98" s="34"/>
      <c r="I98" s="34" t="s">
        <v>19</v>
      </c>
      <c r="J98" s="34" t="s">
        <v>20</v>
      </c>
      <c r="K98" s="34" t="s">
        <v>21</v>
      </c>
      <c r="L98" s="35" t="s">
        <v>22</v>
      </c>
      <c r="M98" s="34" t="s">
        <v>23</v>
      </c>
      <c r="N98" s="36" t="s">
        <v>24</v>
      </c>
    </row>
    <row r="99" spans="2:14" ht="14.4" x14ac:dyDescent="0.3">
      <c r="B99" s="55">
        <v>0.13</v>
      </c>
      <c r="C99" s="59">
        <v>0.1</v>
      </c>
      <c r="D99" s="53">
        <v>0.12</v>
      </c>
      <c r="E99" s="53">
        <v>0.1</v>
      </c>
      <c r="F99" s="53">
        <v>0.25</v>
      </c>
      <c r="G99" s="54">
        <v>1880</v>
      </c>
      <c r="H99" s="37"/>
      <c r="I99" s="56">
        <v>166.5</v>
      </c>
      <c r="J99" s="29">
        <f>F102</f>
        <v>104.12234042553192</v>
      </c>
      <c r="K99" s="29">
        <f>I99 - J99</f>
        <v>62.377659574468083</v>
      </c>
      <c r="L99" s="29">
        <f>1000 / (G99 / 12)</f>
        <v>6.3829787234042561</v>
      </c>
      <c r="M99" s="54" t="s">
        <v>87</v>
      </c>
      <c r="N99" s="38">
        <f>_xlfn.IFS(M99 = "Yes",K99 - L99,M99 = "No",K99)</f>
        <v>55.994680851063826</v>
      </c>
    </row>
    <row r="100" spans="2:14" ht="14.4" x14ac:dyDescent="0.3">
      <c r="B100" s="39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1"/>
    </row>
    <row r="101" spans="2:14" ht="43.2" x14ac:dyDescent="0.3">
      <c r="B101" s="33" t="s">
        <v>10</v>
      </c>
      <c r="C101" s="34" t="s">
        <v>11</v>
      </c>
      <c r="D101" s="34" t="s">
        <v>12</v>
      </c>
      <c r="E101" s="34" t="s">
        <v>13</v>
      </c>
      <c r="F101" s="34" t="s">
        <v>14</v>
      </c>
      <c r="G101" s="34" t="s">
        <v>15</v>
      </c>
      <c r="H101" s="34"/>
      <c r="I101" s="34" t="s">
        <v>26</v>
      </c>
      <c r="J101" s="34" t="s">
        <v>27</v>
      </c>
      <c r="K101" s="34" t="s">
        <v>28</v>
      </c>
      <c r="L101" s="30" t="s">
        <v>29</v>
      </c>
      <c r="M101" s="34" t="s">
        <v>30</v>
      </c>
      <c r="N101" s="36" t="s">
        <v>31</v>
      </c>
    </row>
    <row r="102" spans="2:14" ht="14.4" x14ac:dyDescent="0.3">
      <c r="B102" s="52">
        <v>135000</v>
      </c>
      <c r="C102" s="42">
        <f>B102 / $G99</f>
        <v>71.808510638297875</v>
      </c>
      <c r="D102" s="43">
        <f>SUM($B99,$C99,$D99,$E99)</f>
        <v>0.44999999999999996</v>
      </c>
      <c r="E102" s="42">
        <f>(B102 * D102) / $G99</f>
        <v>32.313829787234042</v>
      </c>
      <c r="F102" s="42">
        <f>C102 + E102</f>
        <v>104.12234042553192</v>
      </c>
      <c r="G102" s="42">
        <f>F102 * (1+$F99)</f>
        <v>130.15292553191489</v>
      </c>
      <c r="H102" s="44"/>
      <c r="I102" s="45">
        <f>G99 * I99</f>
        <v>313020</v>
      </c>
      <c r="J102" s="45">
        <f>_xlfn.IFS(M99 = "Yes",G99 * (J99 + L99),M99 &lt;&gt; "Yes",G99 * (J99))</f>
        <v>207750</v>
      </c>
      <c r="K102" s="45">
        <f>I102 - J102</f>
        <v>105270</v>
      </c>
      <c r="L102" s="46">
        <f>K102 / I102</f>
        <v>0.33630438949587887</v>
      </c>
      <c r="M102" s="45">
        <f>I102 / 12</f>
        <v>26085</v>
      </c>
      <c r="N102" s="47">
        <f>K102 / 12</f>
        <v>8772.5</v>
      </c>
    </row>
    <row r="103" spans="2:14" ht="15.75" customHeight="1" x14ac:dyDescent="0.3"/>
    <row r="104" spans="2:14" ht="15.75" customHeight="1" x14ac:dyDescent="0.3"/>
    <row r="105" spans="2:14" ht="21" x14ac:dyDescent="0.4">
      <c r="B105" s="283" t="s">
        <v>188</v>
      </c>
      <c r="C105" s="284"/>
      <c r="D105" s="284"/>
      <c r="E105" s="284"/>
      <c r="F105" s="50"/>
      <c r="G105" s="50"/>
      <c r="H105" s="50"/>
      <c r="I105" s="50"/>
      <c r="J105" s="50"/>
      <c r="K105" s="50"/>
      <c r="L105" s="50"/>
      <c r="M105" s="50"/>
      <c r="N105" s="51"/>
    </row>
    <row r="106" spans="2:14" ht="43.2" x14ac:dyDescent="0.3">
      <c r="B106" s="33" t="s">
        <v>1</v>
      </c>
      <c r="C106" s="34" t="s">
        <v>3</v>
      </c>
      <c r="D106" s="34" t="s">
        <v>2</v>
      </c>
      <c r="E106" s="34" t="s">
        <v>4</v>
      </c>
      <c r="F106" s="34" t="s">
        <v>6</v>
      </c>
      <c r="G106" s="34" t="s">
        <v>5</v>
      </c>
      <c r="H106" s="34"/>
      <c r="I106" s="34" t="s">
        <v>19</v>
      </c>
      <c r="J106" s="34" t="s">
        <v>20</v>
      </c>
      <c r="K106" s="34" t="s">
        <v>21</v>
      </c>
      <c r="L106" s="35" t="s">
        <v>22</v>
      </c>
      <c r="M106" s="34" t="s">
        <v>23</v>
      </c>
      <c r="N106" s="36" t="s">
        <v>24</v>
      </c>
    </row>
    <row r="107" spans="2:14" ht="14.4" x14ac:dyDescent="0.3">
      <c r="B107" s="55">
        <v>0.13</v>
      </c>
      <c r="C107" s="59">
        <v>0.1</v>
      </c>
      <c r="D107" s="53">
        <v>0.12</v>
      </c>
      <c r="E107" s="53">
        <v>0.1</v>
      </c>
      <c r="F107" s="53">
        <v>0.25</v>
      </c>
      <c r="G107" s="54">
        <v>1880</v>
      </c>
      <c r="H107" s="37"/>
      <c r="I107" s="56">
        <v>166.5</v>
      </c>
      <c r="J107" s="29">
        <f>F110</f>
        <v>106.82180851063829</v>
      </c>
      <c r="K107" s="29">
        <f>I107 - J107</f>
        <v>59.678191489361708</v>
      </c>
      <c r="L107" s="29">
        <f>1000 / (G107 / 12)</f>
        <v>6.3829787234042561</v>
      </c>
      <c r="M107" s="54" t="s">
        <v>25</v>
      </c>
      <c r="N107" s="38">
        <f>_xlfn.IFS(M107 = "Yes",K107 - L107,M107 = "No",K107)</f>
        <v>53.295212765957451</v>
      </c>
    </row>
    <row r="108" spans="2:14" ht="14.4" x14ac:dyDescent="0.3">
      <c r="B108" s="39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1"/>
    </row>
    <row r="109" spans="2:14" ht="43.2" x14ac:dyDescent="0.3">
      <c r="B109" s="33" t="s">
        <v>10</v>
      </c>
      <c r="C109" s="34" t="s">
        <v>11</v>
      </c>
      <c r="D109" s="34" t="s">
        <v>12</v>
      </c>
      <c r="E109" s="34" t="s">
        <v>13</v>
      </c>
      <c r="F109" s="34" t="s">
        <v>14</v>
      </c>
      <c r="G109" s="34" t="s">
        <v>15</v>
      </c>
      <c r="H109" s="34"/>
      <c r="I109" s="34" t="s">
        <v>26</v>
      </c>
      <c r="J109" s="34" t="s">
        <v>27</v>
      </c>
      <c r="K109" s="34" t="s">
        <v>28</v>
      </c>
      <c r="L109" s="30" t="s">
        <v>29</v>
      </c>
      <c r="M109" s="34" t="s">
        <v>30</v>
      </c>
      <c r="N109" s="36" t="s">
        <v>31</v>
      </c>
    </row>
    <row r="110" spans="2:14" ht="14.4" x14ac:dyDescent="0.3">
      <c r="B110" s="52">
        <v>138500</v>
      </c>
      <c r="C110" s="42">
        <f>B110 / $G107</f>
        <v>73.670212765957444</v>
      </c>
      <c r="D110" s="43">
        <f>SUM($B107,$C107,$D107,$E107)</f>
        <v>0.44999999999999996</v>
      </c>
      <c r="E110" s="42">
        <f>(B110 * D110) / $G107</f>
        <v>33.151595744680847</v>
      </c>
      <c r="F110" s="42">
        <f>C110 + E110</f>
        <v>106.82180851063829</v>
      </c>
      <c r="G110" s="42">
        <f>F110 * (1+$F107)</f>
        <v>133.52726063829786</v>
      </c>
      <c r="H110" s="44"/>
      <c r="I110" s="45">
        <f>G107 * I107</f>
        <v>313020</v>
      </c>
      <c r="J110" s="45">
        <f>_xlfn.IFS(M107 = "Yes",G107 * (J107 + L107),M107 &lt;&gt; "Yes",G107 * (J107))</f>
        <v>212824.99999999997</v>
      </c>
      <c r="K110" s="45">
        <f>I110 - J110</f>
        <v>100195.00000000003</v>
      </c>
      <c r="L110" s="46">
        <f>K110 / I110</f>
        <v>0.32009136796370846</v>
      </c>
      <c r="M110" s="45">
        <f>I110 / 12</f>
        <v>26085</v>
      </c>
      <c r="N110" s="47">
        <f>K110 / 12</f>
        <v>8349.5833333333358</v>
      </c>
    </row>
    <row r="111" spans="2:14" ht="15.75" customHeight="1" x14ac:dyDescent="0.3"/>
    <row r="112" spans="2:14" ht="21" x14ac:dyDescent="0.4">
      <c r="B112" s="283" t="s">
        <v>274</v>
      </c>
      <c r="C112" s="284"/>
      <c r="D112" s="284"/>
      <c r="E112" s="284"/>
      <c r="F112" s="50"/>
      <c r="G112" s="50"/>
      <c r="H112" s="50"/>
      <c r="I112" s="50"/>
      <c r="J112" s="50"/>
      <c r="K112" s="50"/>
      <c r="L112" s="50"/>
      <c r="M112" s="50"/>
      <c r="N112" s="51"/>
    </row>
    <row r="113" spans="1:14" ht="43.2" x14ac:dyDescent="0.3">
      <c r="B113" s="33" t="s">
        <v>1</v>
      </c>
      <c r="C113" s="77" t="s">
        <v>3</v>
      </c>
      <c r="D113" s="77" t="s">
        <v>2</v>
      </c>
      <c r="E113" s="77" t="s">
        <v>4</v>
      </c>
      <c r="F113" s="77" t="s">
        <v>6</v>
      </c>
      <c r="G113" s="77" t="s">
        <v>5</v>
      </c>
      <c r="H113" s="77"/>
      <c r="I113" s="77" t="s">
        <v>19</v>
      </c>
      <c r="J113" s="77" t="s">
        <v>20</v>
      </c>
      <c r="K113" s="77" t="s">
        <v>21</v>
      </c>
      <c r="L113" s="78" t="s">
        <v>22</v>
      </c>
      <c r="M113" s="77" t="s">
        <v>23</v>
      </c>
      <c r="N113" s="36" t="s">
        <v>24</v>
      </c>
    </row>
    <row r="114" spans="1:14" ht="14.4" x14ac:dyDescent="0.3">
      <c r="B114" s="55">
        <v>0.13</v>
      </c>
      <c r="C114" s="79">
        <v>0.1</v>
      </c>
      <c r="D114" s="80">
        <v>0.12</v>
      </c>
      <c r="E114" s="80">
        <v>0.1</v>
      </c>
      <c r="F114" s="80">
        <v>0.25</v>
      </c>
      <c r="G114" s="81">
        <v>1880</v>
      </c>
      <c r="H114" s="25"/>
      <c r="I114" s="56">
        <v>166.5</v>
      </c>
      <c r="J114" s="83">
        <f>F117</f>
        <v>106.82180851063829</v>
      </c>
      <c r="K114" s="83">
        <f>I114 - J114</f>
        <v>59.678191489361708</v>
      </c>
      <c r="L114" s="83">
        <f>1000 / (G114 / 12)</f>
        <v>6.3829787234042561</v>
      </c>
      <c r="M114" s="81" t="s">
        <v>25</v>
      </c>
      <c r="N114" s="38">
        <f>_xlfn.IFS(M114 = "Yes",K114 - L114,M114 = "No",K114)</f>
        <v>53.295212765957451</v>
      </c>
    </row>
    <row r="115" spans="1:14" ht="14.4" x14ac:dyDescent="0.3">
      <c r="B115" s="39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41"/>
    </row>
    <row r="116" spans="1:14" ht="43.2" x14ac:dyDescent="0.3">
      <c r="B116" s="33" t="s">
        <v>10</v>
      </c>
      <c r="C116" s="77" t="s">
        <v>11</v>
      </c>
      <c r="D116" s="77" t="s">
        <v>12</v>
      </c>
      <c r="E116" s="77" t="s">
        <v>13</v>
      </c>
      <c r="F116" s="77" t="s">
        <v>14</v>
      </c>
      <c r="G116" s="77" t="s">
        <v>15</v>
      </c>
      <c r="H116" s="77"/>
      <c r="I116" s="77" t="s">
        <v>26</v>
      </c>
      <c r="J116" s="77" t="s">
        <v>27</v>
      </c>
      <c r="K116" s="77" t="s">
        <v>28</v>
      </c>
      <c r="L116" s="85" t="s">
        <v>29</v>
      </c>
      <c r="M116" s="77" t="s">
        <v>30</v>
      </c>
      <c r="N116" s="36" t="s">
        <v>31</v>
      </c>
    </row>
    <row r="117" spans="1:14" ht="14.4" x14ac:dyDescent="0.3">
      <c r="B117" s="52">
        <v>138500</v>
      </c>
      <c r="C117" s="42">
        <f>B117 / $G114</f>
        <v>73.670212765957444</v>
      </c>
      <c r="D117" s="43">
        <f>SUM($B114,$C114,$D114,$E114)</f>
        <v>0.44999999999999996</v>
      </c>
      <c r="E117" s="42">
        <f>(B117 * D117) / $G114</f>
        <v>33.151595744680847</v>
      </c>
      <c r="F117" s="42">
        <f>C117 + E117</f>
        <v>106.82180851063829</v>
      </c>
      <c r="G117" s="42">
        <f>F117 * (1+$F114)</f>
        <v>133.52726063829786</v>
      </c>
      <c r="H117" s="44"/>
      <c r="I117" s="45">
        <f>G114 * I114</f>
        <v>313020</v>
      </c>
      <c r="J117" s="45">
        <f>_xlfn.IFS(M114 = "Yes",G114 * (J114 + L114),M114 &lt;&gt; "Yes",G114 * (J114))</f>
        <v>212824.99999999997</v>
      </c>
      <c r="K117" s="45">
        <f>I117 - J117</f>
        <v>100195.00000000003</v>
      </c>
      <c r="L117" s="46">
        <f>K117 / I117</f>
        <v>0.32009136796370846</v>
      </c>
      <c r="M117" s="45">
        <f>I117 / 12</f>
        <v>26085</v>
      </c>
      <c r="N117" s="47">
        <f>K117 / 12</f>
        <v>8349.5833333333358</v>
      </c>
    </row>
    <row r="118" spans="1:14" ht="15.75" customHeight="1" x14ac:dyDescent="0.3"/>
    <row r="119" spans="1:14" ht="21" x14ac:dyDescent="0.4">
      <c r="B119" s="283" t="s">
        <v>275</v>
      </c>
      <c r="C119" s="284"/>
      <c r="D119" s="284"/>
      <c r="E119" s="284"/>
      <c r="F119" s="50"/>
      <c r="G119" s="50"/>
      <c r="H119" s="50"/>
      <c r="I119" s="50"/>
      <c r="J119" s="50"/>
      <c r="K119" s="50"/>
      <c r="L119" s="50"/>
      <c r="M119" s="50"/>
      <c r="N119" s="51"/>
    </row>
    <row r="120" spans="1:14" ht="43.2" x14ac:dyDescent="0.3">
      <c r="B120" s="33" t="s">
        <v>1</v>
      </c>
      <c r="C120" s="77" t="s">
        <v>3</v>
      </c>
      <c r="D120" s="77" t="s">
        <v>2</v>
      </c>
      <c r="E120" s="77" t="s">
        <v>4</v>
      </c>
      <c r="F120" s="77" t="s">
        <v>6</v>
      </c>
      <c r="G120" s="77" t="s">
        <v>5</v>
      </c>
      <c r="H120" s="77"/>
      <c r="I120" s="77" t="s">
        <v>19</v>
      </c>
      <c r="J120" s="77" t="s">
        <v>20</v>
      </c>
      <c r="K120" s="77" t="s">
        <v>21</v>
      </c>
      <c r="L120" s="78" t="s">
        <v>22</v>
      </c>
      <c r="M120" s="77" t="s">
        <v>23</v>
      </c>
      <c r="N120" s="36" t="s">
        <v>24</v>
      </c>
    </row>
    <row r="121" spans="1:14" ht="14.4" x14ac:dyDescent="0.3">
      <c r="B121" s="55">
        <v>0.13</v>
      </c>
      <c r="C121" s="79">
        <v>0.1</v>
      </c>
      <c r="D121" s="80">
        <v>0.12</v>
      </c>
      <c r="E121" s="80">
        <v>0.1</v>
      </c>
      <c r="F121" s="80">
        <v>0.25</v>
      </c>
      <c r="G121" s="81">
        <v>1880</v>
      </c>
      <c r="H121" s="25"/>
      <c r="I121" s="87">
        <v>77</v>
      </c>
      <c r="J121" s="83">
        <f>F124</f>
        <v>53.989361702127653</v>
      </c>
      <c r="K121" s="83">
        <f>I121 - J121</f>
        <v>23.010638297872347</v>
      </c>
      <c r="L121" s="83">
        <f>1000 / (G121 / 12)</f>
        <v>6.3829787234042561</v>
      </c>
      <c r="M121" s="81" t="s">
        <v>25</v>
      </c>
      <c r="N121" s="38">
        <f>_xlfn.IFS(M121 = "Yes",K121 - L121,M121 = "No",K121)</f>
        <v>16.62765957446809</v>
      </c>
    </row>
    <row r="122" spans="1:14" ht="14.4" x14ac:dyDescent="0.3">
      <c r="B122" s="39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41"/>
    </row>
    <row r="123" spans="1:14" ht="43.2" x14ac:dyDescent="0.3">
      <c r="B123" s="33" t="s">
        <v>10</v>
      </c>
      <c r="C123" s="77" t="s">
        <v>11</v>
      </c>
      <c r="D123" s="77" t="s">
        <v>12</v>
      </c>
      <c r="E123" s="77" t="s">
        <v>13</v>
      </c>
      <c r="F123" s="77" t="s">
        <v>14</v>
      </c>
      <c r="G123" s="77" t="s">
        <v>15</v>
      </c>
      <c r="H123" s="77"/>
      <c r="I123" s="77" t="s">
        <v>26</v>
      </c>
      <c r="J123" s="77" t="s">
        <v>27</v>
      </c>
      <c r="K123" s="77" t="s">
        <v>28</v>
      </c>
      <c r="L123" s="85" t="s">
        <v>29</v>
      </c>
      <c r="M123" s="77" t="s">
        <v>30</v>
      </c>
      <c r="N123" s="36" t="s">
        <v>31</v>
      </c>
    </row>
    <row r="124" spans="1:14" ht="14.4" x14ac:dyDescent="0.3">
      <c r="A124" s="71"/>
      <c r="B124" s="75">
        <v>70000</v>
      </c>
      <c r="C124" s="42">
        <f>B124 / $G121</f>
        <v>37.234042553191486</v>
      </c>
      <c r="D124" s="43">
        <f>SUM($B121,$C121,$D121,$E121)</f>
        <v>0.44999999999999996</v>
      </c>
      <c r="E124" s="42">
        <f>(B124 * D124) / $G121</f>
        <v>16.755319148936167</v>
      </c>
      <c r="F124" s="42">
        <f>C124 + E124</f>
        <v>53.989361702127653</v>
      </c>
      <c r="G124" s="42">
        <f>F124 * (1+$F121)</f>
        <v>67.486702127659569</v>
      </c>
      <c r="H124" s="44"/>
      <c r="I124" s="45">
        <f>G121 * I121</f>
        <v>144760</v>
      </c>
      <c r="J124" s="45">
        <f>_xlfn.IFS(M121 = "Yes",G121 * (J121 + L121),M121 &lt;&gt; "Yes",G121 * (J121))</f>
        <v>113499.99999999999</v>
      </c>
      <c r="K124" s="45">
        <f>I124 - J124</f>
        <v>31260.000000000015</v>
      </c>
      <c r="L124" s="46">
        <f>K124 / I124</f>
        <v>0.21594363083724796</v>
      </c>
      <c r="M124" s="45">
        <f>I124 / 12</f>
        <v>12063.333333333334</v>
      </c>
      <c r="N124" s="47">
        <f>K124 / 12</f>
        <v>2605.0000000000014</v>
      </c>
    </row>
    <row r="125" spans="1:14" ht="15.75" customHeight="1" x14ac:dyDescent="0.3"/>
    <row r="126" spans="1:14" ht="21" x14ac:dyDescent="0.4">
      <c r="B126" s="283" t="s">
        <v>276</v>
      </c>
      <c r="C126" s="284"/>
      <c r="D126" s="284"/>
      <c r="E126" s="284"/>
      <c r="F126" s="50"/>
      <c r="G126" s="50"/>
      <c r="H126" s="50"/>
      <c r="I126" s="50"/>
      <c r="J126" s="50"/>
      <c r="K126" s="50"/>
      <c r="L126" s="50"/>
      <c r="M126" s="50"/>
      <c r="N126" s="51"/>
    </row>
    <row r="127" spans="1:14" ht="43.2" x14ac:dyDescent="0.3">
      <c r="B127" s="33" t="s">
        <v>1</v>
      </c>
      <c r="C127" s="77" t="s">
        <v>3</v>
      </c>
      <c r="D127" s="77" t="s">
        <v>2</v>
      </c>
      <c r="E127" s="77" t="s">
        <v>4</v>
      </c>
      <c r="F127" s="77" t="s">
        <v>6</v>
      </c>
      <c r="G127" s="77" t="s">
        <v>5</v>
      </c>
      <c r="H127" s="77"/>
      <c r="I127" s="77" t="s">
        <v>19</v>
      </c>
      <c r="J127" s="77" t="s">
        <v>20</v>
      </c>
      <c r="K127" s="77" t="s">
        <v>21</v>
      </c>
      <c r="L127" s="78" t="s">
        <v>22</v>
      </c>
      <c r="M127" s="77" t="s">
        <v>23</v>
      </c>
      <c r="N127" s="36" t="s">
        <v>24</v>
      </c>
    </row>
    <row r="128" spans="1:14" ht="14.4" x14ac:dyDescent="0.3">
      <c r="B128" s="55">
        <v>0.13</v>
      </c>
      <c r="C128" s="79">
        <v>0.1</v>
      </c>
      <c r="D128" s="80">
        <v>0.12</v>
      </c>
      <c r="E128" s="80">
        <v>0.1</v>
      </c>
      <c r="F128" s="80">
        <v>0.25</v>
      </c>
      <c r="G128" s="81">
        <v>1880</v>
      </c>
      <c r="H128" s="25"/>
      <c r="I128" s="82">
        <v>135</v>
      </c>
      <c r="J128" s="83">
        <f>F131</f>
        <v>106.82180851063829</v>
      </c>
      <c r="K128" s="83">
        <f>I128 - J128</f>
        <v>28.178191489361708</v>
      </c>
      <c r="L128" s="83">
        <f>1000 / (G128 / 12)</f>
        <v>6.3829787234042561</v>
      </c>
      <c r="M128" s="81" t="s">
        <v>25</v>
      </c>
      <c r="N128" s="38">
        <f>_xlfn.IFS(M128 = "Yes",K128 - L128,M128 = "No",K128)</f>
        <v>21.795212765957451</v>
      </c>
    </row>
    <row r="129" spans="1:14" ht="14.4" x14ac:dyDescent="0.3">
      <c r="B129" s="39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41"/>
    </row>
    <row r="130" spans="1:14" ht="43.2" x14ac:dyDescent="0.3">
      <c r="B130" s="33" t="s">
        <v>10</v>
      </c>
      <c r="C130" s="77" t="s">
        <v>11</v>
      </c>
      <c r="D130" s="77" t="s">
        <v>12</v>
      </c>
      <c r="E130" s="77" t="s">
        <v>13</v>
      </c>
      <c r="F130" s="77" t="s">
        <v>14</v>
      </c>
      <c r="G130" s="77" t="s">
        <v>15</v>
      </c>
      <c r="H130" s="77"/>
      <c r="I130" s="77" t="s">
        <v>26</v>
      </c>
      <c r="J130" s="77" t="s">
        <v>27</v>
      </c>
      <c r="K130" s="77" t="s">
        <v>28</v>
      </c>
      <c r="L130" s="85" t="s">
        <v>29</v>
      </c>
      <c r="M130" s="77" t="s">
        <v>30</v>
      </c>
      <c r="N130" s="36" t="s">
        <v>31</v>
      </c>
    </row>
    <row r="131" spans="1:14" ht="14.4" x14ac:dyDescent="0.3">
      <c r="A131" s="71">
        <v>78</v>
      </c>
      <c r="B131" s="75">
        <v>138500</v>
      </c>
      <c r="C131" s="42">
        <f>B131 / $G128</f>
        <v>73.670212765957444</v>
      </c>
      <c r="D131" s="43">
        <f>SUM($B128,$C128,$D128,$E128)</f>
        <v>0.44999999999999996</v>
      </c>
      <c r="E131" s="42">
        <f>(B131 * D131) / $G128</f>
        <v>33.151595744680847</v>
      </c>
      <c r="F131" s="42">
        <f>C131 + E131</f>
        <v>106.82180851063829</v>
      </c>
      <c r="G131" s="42">
        <f>F131 * (1+$F128)</f>
        <v>133.52726063829786</v>
      </c>
      <c r="H131" s="44"/>
      <c r="I131" s="45">
        <f>G128 * I128</f>
        <v>253800</v>
      </c>
      <c r="J131" s="45">
        <f>_xlfn.IFS(M128 = "Yes",G128 * (J128 + L128),M128 &lt;&gt; "Yes",G128 * (J128))</f>
        <v>212824.99999999997</v>
      </c>
      <c r="K131" s="45">
        <f>I131 - J131</f>
        <v>40975.000000000029</v>
      </c>
      <c r="L131" s="46">
        <f>K131 / I131</f>
        <v>0.16144602048857379</v>
      </c>
      <c r="M131" s="45">
        <f>I131 / 12</f>
        <v>21150</v>
      </c>
      <c r="N131" s="47">
        <f>K131 / 12</f>
        <v>3414.5833333333358</v>
      </c>
    </row>
    <row r="132" spans="1:14" ht="15.75" customHeight="1" x14ac:dyDescent="0.3"/>
    <row r="133" spans="1:14" ht="15.75" customHeight="1" x14ac:dyDescent="0.3"/>
    <row r="134" spans="1:14" ht="15.75" customHeight="1" x14ac:dyDescent="0.3"/>
    <row r="135" spans="1:14" ht="15.75" customHeight="1" x14ac:dyDescent="0.3"/>
    <row r="136" spans="1:14" ht="15.75" customHeight="1" x14ac:dyDescent="0.3"/>
    <row r="137" spans="1:14" ht="15.75" customHeight="1" x14ac:dyDescent="0.3"/>
    <row r="138" spans="1:14" ht="15.75" customHeight="1" x14ac:dyDescent="0.3"/>
    <row r="139" spans="1:14" ht="15.75" customHeight="1" x14ac:dyDescent="0.3"/>
    <row r="140" spans="1:14" ht="15.75" customHeight="1" x14ac:dyDescent="0.3"/>
    <row r="141" spans="1:14" ht="15.75" customHeight="1" x14ac:dyDescent="0.3"/>
    <row r="142" spans="1:14" ht="15.75" customHeight="1" x14ac:dyDescent="0.3"/>
    <row r="143" spans="1:14" ht="15.75" customHeight="1" x14ac:dyDescent="0.3"/>
    <row r="144" spans="1:1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</sheetData>
  <mergeCells count="16">
    <mergeCell ref="B112:E112"/>
    <mergeCell ref="B119:E119"/>
    <mergeCell ref="B126:E126"/>
    <mergeCell ref="B18:E18"/>
    <mergeCell ref="B10:E10"/>
    <mergeCell ref="B89:E89"/>
    <mergeCell ref="B97:E97"/>
    <mergeCell ref="B105:E105"/>
    <mergeCell ref="B26:E26"/>
    <mergeCell ref="B34:E34"/>
    <mergeCell ref="B65:E65"/>
    <mergeCell ref="B73:E73"/>
    <mergeCell ref="B81:E81"/>
    <mergeCell ref="B41:E41"/>
    <mergeCell ref="B48:E48"/>
    <mergeCell ref="B56:E56"/>
  </mergeCells>
  <pageMargins left="0.7" right="0.7" top="0.75" bottom="0.75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8B20-4C96-2C4B-BC6A-27CFDD936C22}">
  <dimension ref="A1:Y32"/>
  <sheetViews>
    <sheetView zoomScale="120" zoomScaleNormal="120" workbookViewId="0">
      <selection activeCell="H11" sqref="H11"/>
    </sheetView>
  </sheetViews>
  <sheetFormatPr defaultColWidth="8.88671875" defaultRowHeight="16.8" x14ac:dyDescent="0.4"/>
  <cols>
    <col min="1" max="1" width="8.88671875" style="97"/>
    <col min="2" max="2" width="12.88671875" style="97" customWidth="1"/>
    <col min="3" max="3" width="12.109375" style="97" customWidth="1"/>
    <col min="4" max="4" width="7.6640625" style="97" customWidth="1"/>
    <col min="5" max="5" width="9" style="97" customWidth="1"/>
    <col min="6" max="6" width="11.6640625" style="97" customWidth="1"/>
    <col min="7" max="7" width="11.33203125" style="97" customWidth="1"/>
    <col min="8" max="8" width="8.88671875" style="97"/>
    <col min="9" max="9" width="8.88671875" style="97" customWidth="1"/>
    <col min="10" max="10" width="27.6640625" style="97" customWidth="1"/>
    <col min="11" max="14" width="9" style="97" customWidth="1"/>
    <col min="15" max="15" width="8.33203125" style="97" bestFit="1" customWidth="1"/>
    <col min="16" max="16384" width="8.88671875" style="97"/>
  </cols>
  <sheetData>
    <row r="1" spans="1:25" ht="29.4" x14ac:dyDescent="0.65">
      <c r="A1" s="96" t="s">
        <v>277</v>
      </c>
    </row>
    <row r="4" spans="1:25" ht="24.6" x14ac:dyDescent="0.55000000000000004">
      <c r="B4" s="98" t="s">
        <v>278</v>
      </c>
    </row>
    <row r="5" spans="1:25" ht="24.6" x14ac:dyDescent="0.55000000000000004">
      <c r="B5" s="98" t="s">
        <v>279</v>
      </c>
      <c r="J5" s="98" t="s">
        <v>280</v>
      </c>
    </row>
    <row r="6" spans="1:25" x14ac:dyDescent="0.4">
      <c r="B6" s="97" t="s">
        <v>281</v>
      </c>
      <c r="C6" s="97" t="s">
        <v>208</v>
      </c>
      <c r="D6" s="97" t="s">
        <v>251</v>
      </c>
      <c r="E6" s="97" t="s">
        <v>282</v>
      </c>
      <c r="F6" s="97" t="s">
        <v>283</v>
      </c>
      <c r="G6" s="97" t="s">
        <v>41</v>
      </c>
      <c r="J6" s="97" t="s">
        <v>281</v>
      </c>
      <c r="K6" s="97" t="s">
        <v>208</v>
      </c>
      <c r="L6" s="97" t="s">
        <v>251</v>
      </c>
      <c r="M6" s="97" t="s">
        <v>282</v>
      </c>
      <c r="N6" s="97" t="s">
        <v>283</v>
      </c>
      <c r="O6" s="97" t="s">
        <v>41</v>
      </c>
    </row>
    <row r="7" spans="1:25" x14ac:dyDescent="0.4">
      <c r="B7" s="97" t="s">
        <v>284</v>
      </c>
      <c r="C7" s="99">
        <v>225</v>
      </c>
      <c r="D7" s="97">
        <v>4</v>
      </c>
      <c r="E7" s="97">
        <v>13</v>
      </c>
      <c r="F7" s="97">
        <f>Table13[[#This Row],[Hours]] * Table13[[#This Row],[Weeks]]</f>
        <v>52</v>
      </c>
      <c r="G7" s="100">
        <f>Table13[[#This Row],[Rate]] * Table13[[#This Row],[Total Hours]]</f>
        <v>11700</v>
      </c>
      <c r="J7" s="97" t="s">
        <v>284</v>
      </c>
      <c r="K7" s="99">
        <v>225</v>
      </c>
      <c r="L7" s="97">
        <v>4</v>
      </c>
      <c r="M7" s="97">
        <v>12</v>
      </c>
      <c r="N7" s="97">
        <f>Table134[[#This Row],[Hours]] * Table134[[#This Row],[Weeks]]</f>
        <v>48</v>
      </c>
      <c r="O7" s="100">
        <f>Table134[[#This Row],[Rate]] * Table134[[#This Row],[Total Hours]]</f>
        <v>10800</v>
      </c>
    </row>
    <row r="8" spans="1:25" x14ac:dyDescent="0.4">
      <c r="B8" s="97" t="s">
        <v>285</v>
      </c>
      <c r="C8" s="99">
        <v>165</v>
      </c>
      <c r="D8" s="97">
        <v>38.25</v>
      </c>
      <c r="E8" s="97">
        <v>13</v>
      </c>
      <c r="F8" s="97">
        <f>Table13[[#This Row],[Hours]] * Table13[[#This Row],[Weeks]]</f>
        <v>497.25</v>
      </c>
      <c r="G8" s="100">
        <f>Table13[[#This Row],[Rate]] * Table13[[#This Row],[Total Hours]]</f>
        <v>82046.25</v>
      </c>
      <c r="J8" s="97" t="s">
        <v>285</v>
      </c>
      <c r="K8" s="99">
        <v>165</v>
      </c>
      <c r="L8" s="97">
        <v>20</v>
      </c>
      <c r="M8" s="97">
        <v>12</v>
      </c>
      <c r="N8" s="97">
        <f>Table134[[#This Row],[Hours]] * Table134[[#This Row],[Weeks]]</f>
        <v>240</v>
      </c>
      <c r="O8" s="100">
        <f>Table134[[#This Row],[Rate]] * Table134[[#This Row],[Total Hours]]</f>
        <v>39600</v>
      </c>
      <c r="T8" s="97">
        <v>110</v>
      </c>
      <c r="U8" s="97">
        <v>20</v>
      </c>
      <c r="V8" s="97">
        <v>12</v>
      </c>
      <c r="W8" s="97">
        <v>240</v>
      </c>
      <c r="X8" s="97">
        <f>T8*W8</f>
        <v>26400</v>
      </c>
    </row>
    <row r="9" spans="1:25" x14ac:dyDescent="0.4">
      <c r="B9" s="97" t="s">
        <v>286</v>
      </c>
      <c r="C9" s="99">
        <v>60</v>
      </c>
      <c r="D9" s="97">
        <v>4</v>
      </c>
      <c r="E9" s="97">
        <v>13</v>
      </c>
      <c r="F9" s="97">
        <f>Table13[[#This Row],[Hours]] * Table13[[#This Row],[Weeks]]</f>
        <v>52</v>
      </c>
      <c r="G9" s="100">
        <f>Table13[[#This Row],[Rate]] * Table13[[#This Row],[Total Hours]]</f>
        <v>3120</v>
      </c>
      <c r="J9" s="97" t="s">
        <v>285</v>
      </c>
      <c r="K9" s="99">
        <v>165</v>
      </c>
      <c r="L9" s="97">
        <v>0</v>
      </c>
      <c r="M9" s="97">
        <v>10</v>
      </c>
      <c r="N9" s="97">
        <f>Table134[[#This Row],[Hours]] * Table134[[#This Row],[Weeks]]</f>
        <v>0</v>
      </c>
      <c r="O9" s="100">
        <f>Table134[[#This Row],[Rate]] * Table134[[#This Row],[Total Hours]]</f>
        <v>0</v>
      </c>
      <c r="X9" s="97">
        <f>X8/3</f>
        <v>8800</v>
      </c>
      <c r="Y9" s="100">
        <f>O8/3</f>
        <v>13200</v>
      </c>
    </row>
    <row r="10" spans="1:25" x14ac:dyDescent="0.4">
      <c r="G10" s="100">
        <f>SUBTOTAL(109,Table13[Cost])</f>
        <v>96866.25</v>
      </c>
      <c r="J10" s="97" t="s">
        <v>286</v>
      </c>
      <c r="K10" s="99">
        <v>63</v>
      </c>
      <c r="L10" s="97">
        <v>10</v>
      </c>
      <c r="M10" s="97">
        <v>12</v>
      </c>
      <c r="N10" s="97">
        <f>Table134[[#This Row],[Hours]] * Table134[[#This Row],[Weeks]]</f>
        <v>120</v>
      </c>
      <c r="O10" s="100">
        <f>Table134[[#This Row],[Rate]] * Table134[[#This Row],[Total Hours]]</f>
        <v>7560</v>
      </c>
      <c r="X10" s="101"/>
    </row>
    <row r="11" spans="1:25" x14ac:dyDescent="0.4">
      <c r="G11" s="100"/>
      <c r="O11" s="100">
        <f>SUBTOTAL(109,Table134[Cost])</f>
        <v>57960</v>
      </c>
    </row>
    <row r="12" spans="1:25" x14ac:dyDescent="0.4">
      <c r="F12" s="102" t="s">
        <v>287</v>
      </c>
      <c r="G12" s="100">
        <v>9000</v>
      </c>
      <c r="O12" s="100"/>
    </row>
    <row r="13" spans="1:25" x14ac:dyDescent="0.4">
      <c r="F13" s="103" t="s">
        <v>288</v>
      </c>
      <c r="G13" s="100">
        <f>Table13[[#Totals],[Cost]] +G12</f>
        <v>105866.25</v>
      </c>
      <c r="N13" s="102" t="s">
        <v>287</v>
      </c>
      <c r="O13" s="100"/>
    </row>
    <row r="14" spans="1:25" x14ac:dyDescent="0.4">
      <c r="F14" s="102" t="s">
        <v>289</v>
      </c>
      <c r="G14" s="104">
        <v>0</v>
      </c>
      <c r="N14" s="103" t="s">
        <v>288</v>
      </c>
      <c r="O14" s="100">
        <f>Table134[[#Totals],[Cost]] +O13</f>
        <v>57960</v>
      </c>
      <c r="U14" s="97">
        <v>6160</v>
      </c>
    </row>
    <row r="15" spans="1:25" x14ac:dyDescent="0.4">
      <c r="F15" s="102" t="s">
        <v>290</v>
      </c>
      <c r="G15" s="100">
        <f>G13 * G14</f>
        <v>0</v>
      </c>
      <c r="N15" s="102" t="s">
        <v>289</v>
      </c>
      <c r="O15" s="104"/>
    </row>
    <row r="16" spans="1:25" x14ac:dyDescent="0.4">
      <c r="F16" s="103" t="s">
        <v>291</v>
      </c>
      <c r="G16" s="105">
        <f>G13 +G15</f>
        <v>105866.25</v>
      </c>
      <c r="N16" s="102" t="s">
        <v>290</v>
      </c>
      <c r="O16" s="100">
        <f>O14 * O15</f>
        <v>0</v>
      </c>
    </row>
    <row r="17" spans="2:15" x14ac:dyDescent="0.4">
      <c r="N17" s="103" t="s">
        <v>291</v>
      </c>
      <c r="O17" s="105">
        <f>O14 +O16</f>
        <v>57960</v>
      </c>
    </row>
    <row r="20" spans="2:15" x14ac:dyDescent="0.4">
      <c r="J20" s="97">
        <f>80*360</f>
        <v>28800</v>
      </c>
    </row>
    <row r="21" spans="2:15" ht="24.6" x14ac:dyDescent="0.55000000000000004">
      <c r="B21" s="98" t="s">
        <v>292</v>
      </c>
      <c r="J21" s="97">
        <f>80*288</f>
        <v>23040</v>
      </c>
    </row>
    <row r="22" spans="2:15" x14ac:dyDescent="0.4">
      <c r="B22" s="97" t="s">
        <v>281</v>
      </c>
      <c r="C22" s="97" t="s">
        <v>208</v>
      </c>
      <c r="D22" s="97" t="s">
        <v>251</v>
      </c>
      <c r="E22" s="97" t="s">
        <v>282</v>
      </c>
      <c r="F22" s="97" t="s">
        <v>283</v>
      </c>
      <c r="G22" s="97" t="s">
        <v>41</v>
      </c>
    </row>
    <row r="23" spans="2:15" x14ac:dyDescent="0.4">
      <c r="B23" s="97" t="s">
        <v>284</v>
      </c>
      <c r="C23" s="99">
        <v>225</v>
      </c>
      <c r="D23" s="97">
        <v>8</v>
      </c>
      <c r="E23" s="97">
        <v>8</v>
      </c>
      <c r="F23" s="97">
        <f>Table1[[#This Row],[Hours]] * Table1[[#This Row],[Weeks]]</f>
        <v>64</v>
      </c>
      <c r="G23" s="100">
        <f>Table1[[#This Row],[Rate]] * Table1[[#This Row],[Total Hours]]</f>
        <v>14400</v>
      </c>
    </row>
    <row r="24" spans="2:15" x14ac:dyDescent="0.4">
      <c r="B24" s="97" t="s">
        <v>285</v>
      </c>
      <c r="C24" s="99">
        <v>175</v>
      </c>
      <c r="D24" s="97">
        <v>20</v>
      </c>
      <c r="E24" s="97">
        <v>8</v>
      </c>
      <c r="F24" s="97">
        <f>Table1[[#This Row],[Hours]] * Table1[[#This Row],[Weeks]]</f>
        <v>160</v>
      </c>
      <c r="G24" s="100">
        <f>Table1[[#This Row],[Rate]] * Table1[[#This Row],[Total Hours]]</f>
        <v>28000</v>
      </c>
    </row>
    <row r="25" spans="2:15" x14ac:dyDescent="0.4">
      <c r="B25" s="97" t="s">
        <v>286</v>
      </c>
      <c r="C25" s="99">
        <v>80</v>
      </c>
      <c r="D25" s="97">
        <v>10</v>
      </c>
      <c r="E25" s="97">
        <v>8</v>
      </c>
      <c r="F25" s="97">
        <f>Table1[[#This Row],[Hours]] * Table1[[#This Row],[Weeks]]</f>
        <v>80</v>
      </c>
      <c r="G25" s="100">
        <f>Table1[[#This Row],[Rate]] * Table1[[#This Row],[Total Hours]]</f>
        <v>6400</v>
      </c>
    </row>
    <row r="26" spans="2:15" x14ac:dyDescent="0.4">
      <c r="G26" s="100">
        <f>SUBTOTAL(109,Table1[Cost])</f>
        <v>48800</v>
      </c>
    </row>
    <row r="27" spans="2:15" x14ac:dyDescent="0.4">
      <c r="G27" s="100"/>
    </row>
    <row r="28" spans="2:15" x14ac:dyDescent="0.4">
      <c r="F28" s="102" t="s">
        <v>287</v>
      </c>
      <c r="G28" s="100">
        <v>6000</v>
      </c>
    </row>
    <row r="29" spans="2:15" x14ac:dyDescent="0.4">
      <c r="F29" s="103" t="s">
        <v>288</v>
      </c>
      <c r="G29" s="100">
        <f>Table1[[#Totals],[Cost]] +G28</f>
        <v>54800</v>
      </c>
    </row>
    <row r="30" spans="2:15" x14ac:dyDescent="0.4">
      <c r="F30" s="102" t="s">
        <v>289</v>
      </c>
      <c r="G30" s="104">
        <v>0.05</v>
      </c>
    </row>
    <row r="31" spans="2:15" x14ac:dyDescent="0.4">
      <c r="F31" s="102" t="s">
        <v>290</v>
      </c>
      <c r="G31" s="100">
        <f>G29 * G30</f>
        <v>2740</v>
      </c>
    </row>
    <row r="32" spans="2:15" x14ac:dyDescent="0.4">
      <c r="F32" s="103" t="s">
        <v>291</v>
      </c>
      <c r="G32" s="105">
        <f>G29 +G31</f>
        <v>57540</v>
      </c>
    </row>
  </sheetData>
  <pageMargins left="0.7" right="0.7" top="0.75" bottom="0.75" header="0.3" footer="0.3"/>
  <pageSetup orientation="portrait" r:id="rId1"/>
  <legacyDrawing r:id="rId2"/>
  <tableParts count="3">
    <tablePart r:id="rId3"/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A03E-5661-0848-8A52-FC4D314CF4FA}">
  <dimension ref="B2:G17"/>
  <sheetViews>
    <sheetView showGridLines="0" zoomScale="160" zoomScaleNormal="160" workbookViewId="0">
      <selection activeCell="I12" sqref="I12"/>
    </sheetView>
  </sheetViews>
  <sheetFormatPr defaultColWidth="8.88671875" defaultRowHeight="16.8" x14ac:dyDescent="0.4"/>
  <cols>
    <col min="1" max="1" width="8.88671875" style="97"/>
    <col min="2" max="2" width="28.6640625" style="97" customWidth="1"/>
    <col min="3" max="4" width="8.88671875" style="97"/>
    <col min="5" max="5" width="13.6640625" style="97" bestFit="1" customWidth="1"/>
    <col min="6" max="7" width="12.109375" style="97" customWidth="1"/>
    <col min="8" max="16384" width="8.88671875" style="97"/>
  </cols>
  <sheetData>
    <row r="2" spans="2:7" ht="27" x14ac:dyDescent="0.6">
      <c r="B2" s="106" t="s">
        <v>293</v>
      </c>
    </row>
    <row r="4" spans="2:7" x14ac:dyDescent="0.4">
      <c r="B4" s="97" t="s">
        <v>281</v>
      </c>
      <c r="C4" s="97" t="s">
        <v>251</v>
      </c>
      <c r="D4" s="97" t="s">
        <v>282</v>
      </c>
      <c r="E4" s="97" t="s">
        <v>283</v>
      </c>
      <c r="F4" s="97" t="s">
        <v>208</v>
      </c>
      <c r="G4" s="97" t="s">
        <v>64</v>
      </c>
    </row>
    <row r="5" spans="2:7" x14ac:dyDescent="0.4">
      <c r="B5" s="97" t="s">
        <v>294</v>
      </c>
      <c r="C5" s="97">
        <v>14.5</v>
      </c>
      <c r="D5" s="97">
        <v>12</v>
      </c>
      <c r="E5" s="97">
        <f>Table135[[#This Row],[Hours]] * Table135[[#This Row],[Weeks]]</f>
        <v>174</v>
      </c>
      <c r="F5" s="100">
        <v>155</v>
      </c>
      <c r="G5" s="100">
        <f>Table135[[#This Row],[Rate]]*Table135[[#This Row],[Total Hours]]</f>
        <v>26970</v>
      </c>
    </row>
    <row r="6" spans="2:7" x14ac:dyDescent="0.4">
      <c r="B6" s="97" t="s">
        <v>295</v>
      </c>
      <c r="C6" s="97">
        <v>20</v>
      </c>
      <c r="D6" s="97">
        <v>12</v>
      </c>
      <c r="E6" s="97">
        <f>Table135[[#This Row],[Hours]] * Table135[[#This Row],[Weeks]]</f>
        <v>240</v>
      </c>
      <c r="F6" s="100">
        <v>128</v>
      </c>
      <c r="G6" s="100">
        <f>Table135[[#This Row],[Rate]]*Table135[[#This Row],[Total Hours]]</f>
        <v>30720</v>
      </c>
    </row>
    <row r="7" spans="2:7" x14ac:dyDescent="0.4">
      <c r="F7" s="102" t="s">
        <v>296</v>
      </c>
      <c r="G7" s="100">
        <f>SUM(G5:G6)</f>
        <v>57690</v>
      </c>
    </row>
    <row r="8" spans="2:7" x14ac:dyDescent="0.4">
      <c r="G8" s="100"/>
    </row>
    <row r="9" spans="2:7" x14ac:dyDescent="0.4">
      <c r="F9" s="103" t="s">
        <v>297</v>
      </c>
      <c r="G9" s="107">
        <f>G7</f>
        <v>57690</v>
      </c>
    </row>
    <row r="11" spans="2:7" x14ac:dyDescent="0.4">
      <c r="E11" s="102"/>
      <c r="F11" s="102"/>
    </row>
    <row r="12" spans="2:7" ht="20.399999999999999" x14ac:dyDescent="0.45">
      <c r="B12" s="108" t="s">
        <v>298</v>
      </c>
      <c r="E12" s="103"/>
      <c r="F12" s="103"/>
    </row>
    <row r="13" spans="2:7" x14ac:dyDescent="0.4">
      <c r="B13" s="97" t="s">
        <v>299</v>
      </c>
      <c r="E13" s="102"/>
      <c r="F13" s="102"/>
    </row>
    <row r="14" spans="2:7" x14ac:dyDescent="0.4">
      <c r="B14" s="109" t="s">
        <v>300</v>
      </c>
      <c r="E14" s="102"/>
      <c r="F14" s="102"/>
    </row>
    <row r="15" spans="2:7" x14ac:dyDescent="0.4">
      <c r="B15" s="97" t="s">
        <v>301</v>
      </c>
      <c r="E15" s="103"/>
      <c r="F15" s="103"/>
    </row>
    <row r="16" spans="2:7" x14ac:dyDescent="0.4">
      <c r="B16" s="109" t="s">
        <v>302</v>
      </c>
    </row>
    <row r="17" spans="2:2" x14ac:dyDescent="0.4">
      <c r="B17" s="97" t="s">
        <v>303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A682-3DD4-4759-B81D-2C80DEDACD35}">
  <dimension ref="B2:E12"/>
  <sheetViews>
    <sheetView workbookViewId="0">
      <selection activeCell="G13" sqref="G13"/>
    </sheetView>
  </sheetViews>
  <sheetFormatPr defaultColWidth="8.88671875" defaultRowHeight="14.4" x14ac:dyDescent="0.3"/>
  <cols>
    <col min="2" max="2" width="10.6640625" customWidth="1"/>
    <col min="5" max="5" width="9.6640625" bestFit="1" customWidth="1"/>
  </cols>
  <sheetData>
    <row r="2" spans="2:5" x14ac:dyDescent="0.3">
      <c r="B2" t="s">
        <v>304</v>
      </c>
      <c r="C2" t="s">
        <v>208</v>
      </c>
      <c r="D2" t="s">
        <v>251</v>
      </c>
      <c r="E2" t="s">
        <v>64</v>
      </c>
    </row>
    <row r="3" spans="2:5" x14ac:dyDescent="0.3">
      <c r="B3" t="s">
        <v>305</v>
      </c>
      <c r="C3" s="71">
        <v>120</v>
      </c>
      <c r="D3">
        <v>640</v>
      </c>
      <c r="E3" s="71">
        <f>C3*D3</f>
        <v>76800</v>
      </c>
    </row>
    <row r="4" spans="2:5" x14ac:dyDescent="0.3">
      <c r="B4" t="s">
        <v>306</v>
      </c>
      <c r="C4" s="72">
        <v>104.64</v>
      </c>
      <c r="D4">
        <v>1872</v>
      </c>
      <c r="E4" s="71">
        <f t="shared" ref="E4:E5" si="0">C4*D4</f>
        <v>195886.07999999999</v>
      </c>
    </row>
    <row r="5" spans="2:5" x14ac:dyDescent="0.3">
      <c r="B5" t="s">
        <v>307</v>
      </c>
      <c r="C5" s="72">
        <v>102.18</v>
      </c>
      <c r="D5">
        <v>960</v>
      </c>
      <c r="E5" s="71">
        <f t="shared" si="0"/>
        <v>98092.800000000003</v>
      </c>
    </row>
    <row r="6" spans="2:5" x14ac:dyDescent="0.3">
      <c r="C6" s="285" t="s">
        <v>308</v>
      </c>
      <c r="D6" s="285"/>
      <c r="E6" s="71">
        <f>SUM(E3:E5)</f>
        <v>370778.87999999995</v>
      </c>
    </row>
    <row r="9" spans="2:5" x14ac:dyDescent="0.3">
      <c r="B9" t="s">
        <v>304</v>
      </c>
      <c r="C9" t="s">
        <v>208</v>
      </c>
      <c r="D9" t="s">
        <v>251</v>
      </c>
      <c r="E9" t="s">
        <v>64</v>
      </c>
    </row>
    <row r="10" spans="2:5" x14ac:dyDescent="0.3">
      <c r="B10" t="s">
        <v>309</v>
      </c>
      <c r="C10" s="71">
        <v>145</v>
      </c>
      <c r="D10">
        <v>1872</v>
      </c>
      <c r="E10" s="71">
        <f>C10*D10</f>
        <v>271440</v>
      </c>
    </row>
    <row r="11" spans="2:5" x14ac:dyDescent="0.3">
      <c r="B11" t="s">
        <v>310</v>
      </c>
      <c r="C11" s="72">
        <v>104.64</v>
      </c>
      <c r="D11">
        <v>1872</v>
      </c>
      <c r="E11" s="71">
        <f t="shared" ref="E11" si="1">C11*D11</f>
        <v>195886.07999999999</v>
      </c>
    </row>
    <row r="12" spans="2:5" x14ac:dyDescent="0.3">
      <c r="C12" s="285" t="s">
        <v>308</v>
      </c>
      <c r="D12" s="285"/>
      <c r="E12" s="71">
        <f ca="1">SUM(E10:E12)</f>
        <v>467326.07999999996</v>
      </c>
    </row>
  </sheetData>
  <mergeCells count="2">
    <mergeCell ref="C6:D6"/>
    <mergeCell ref="C12:D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8475-7E6C-4297-9B26-DE9308991EF7}">
  <dimension ref="A2:F16"/>
  <sheetViews>
    <sheetView workbookViewId="0">
      <selection activeCell="H21" sqref="H21"/>
    </sheetView>
  </sheetViews>
  <sheetFormatPr defaultColWidth="8.88671875" defaultRowHeight="14.4" x14ac:dyDescent="0.3"/>
  <cols>
    <col min="1" max="1" width="17" bestFit="1" customWidth="1"/>
    <col min="2" max="2" width="11.44140625" bestFit="1" customWidth="1"/>
    <col min="3" max="3" width="11.44140625" customWidth="1"/>
    <col min="6" max="6" width="12.109375" bestFit="1" customWidth="1"/>
  </cols>
  <sheetData>
    <row r="2" spans="1:6" x14ac:dyDescent="0.3">
      <c r="A2" s="66" t="s">
        <v>150</v>
      </c>
      <c r="B2" s="66" t="s">
        <v>304</v>
      </c>
      <c r="C2" s="66" t="s">
        <v>311</v>
      </c>
      <c r="D2" s="66" t="s">
        <v>312</v>
      </c>
      <c r="E2" s="66" t="s">
        <v>313</v>
      </c>
      <c r="F2" t="s">
        <v>314</v>
      </c>
    </row>
    <row r="3" spans="1:6" x14ac:dyDescent="0.3">
      <c r="A3" t="s">
        <v>315</v>
      </c>
      <c r="B3" t="s">
        <v>316</v>
      </c>
      <c r="C3" t="s">
        <v>317</v>
      </c>
      <c r="D3" s="71">
        <v>180</v>
      </c>
      <c r="E3" s="62">
        <v>0.05</v>
      </c>
      <c r="F3" t="s">
        <v>318</v>
      </c>
    </row>
    <row r="4" spans="1:6" x14ac:dyDescent="0.3">
      <c r="A4" t="s">
        <v>267</v>
      </c>
      <c r="B4" t="s">
        <v>305</v>
      </c>
      <c r="C4" t="s">
        <v>317</v>
      </c>
      <c r="D4" s="71">
        <v>135</v>
      </c>
      <c r="E4" s="62">
        <v>0.1</v>
      </c>
      <c r="F4" t="s">
        <v>318</v>
      </c>
    </row>
    <row r="5" spans="1:6" x14ac:dyDescent="0.3">
      <c r="A5" t="s">
        <v>114</v>
      </c>
      <c r="B5" t="s">
        <v>316</v>
      </c>
      <c r="C5" t="s">
        <v>317</v>
      </c>
      <c r="D5" s="71">
        <v>155</v>
      </c>
      <c r="E5" s="62">
        <v>0.1</v>
      </c>
      <c r="F5" t="s">
        <v>318</v>
      </c>
    </row>
    <row r="6" spans="1:6" x14ac:dyDescent="0.3">
      <c r="A6" t="s">
        <v>319</v>
      </c>
      <c r="B6" t="s">
        <v>305</v>
      </c>
      <c r="C6">
        <v>1099</v>
      </c>
      <c r="D6" t="s">
        <v>320</v>
      </c>
      <c r="E6" s="62">
        <v>0</v>
      </c>
    </row>
    <row r="7" spans="1:6" x14ac:dyDescent="0.3">
      <c r="A7" t="s">
        <v>272</v>
      </c>
      <c r="B7" t="s">
        <v>305</v>
      </c>
      <c r="C7" t="s">
        <v>317</v>
      </c>
      <c r="D7" t="s">
        <v>321</v>
      </c>
      <c r="E7" s="62">
        <v>0.1</v>
      </c>
    </row>
    <row r="8" spans="1:6" x14ac:dyDescent="0.3">
      <c r="A8" t="s">
        <v>275</v>
      </c>
      <c r="B8" t="s">
        <v>322</v>
      </c>
      <c r="C8">
        <v>1099</v>
      </c>
      <c r="D8" t="s">
        <v>323</v>
      </c>
      <c r="E8" s="62">
        <v>0</v>
      </c>
      <c r="F8" t="s">
        <v>318</v>
      </c>
    </row>
    <row r="9" spans="1:6" x14ac:dyDescent="0.3">
      <c r="A9" t="s">
        <v>324</v>
      </c>
      <c r="B9" t="s">
        <v>325</v>
      </c>
      <c r="C9" t="s">
        <v>317</v>
      </c>
      <c r="D9" t="s">
        <v>326</v>
      </c>
      <c r="E9" s="62">
        <v>0.1</v>
      </c>
      <c r="F9" t="s">
        <v>318</v>
      </c>
    </row>
    <row r="10" spans="1:6" x14ac:dyDescent="0.3">
      <c r="A10" t="s">
        <v>327</v>
      </c>
      <c r="B10" t="s">
        <v>325</v>
      </c>
      <c r="C10" t="s">
        <v>317</v>
      </c>
      <c r="D10" t="s">
        <v>326</v>
      </c>
      <c r="E10" s="62">
        <v>0.1</v>
      </c>
      <c r="F10" t="s">
        <v>318</v>
      </c>
    </row>
    <row r="11" spans="1:6" x14ac:dyDescent="0.3">
      <c r="E11" s="62"/>
    </row>
    <row r="12" spans="1:6" x14ac:dyDescent="0.3">
      <c r="E12" s="62"/>
    </row>
    <row r="13" spans="1:6" x14ac:dyDescent="0.3">
      <c r="E13" s="62"/>
    </row>
    <row r="14" spans="1:6" x14ac:dyDescent="0.3">
      <c r="E14" s="62"/>
    </row>
    <row r="15" spans="1:6" x14ac:dyDescent="0.3">
      <c r="E15" s="62"/>
    </row>
    <row r="16" spans="1:6" x14ac:dyDescent="0.3">
      <c r="E16" s="6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4FE0-D60C-4832-8DEA-C4745034482D}">
  <dimension ref="A4:V54"/>
  <sheetViews>
    <sheetView showGridLines="0" topLeftCell="A11" workbookViewId="0">
      <selection activeCell="A11" sqref="A11"/>
    </sheetView>
  </sheetViews>
  <sheetFormatPr defaultRowHeight="14.4" x14ac:dyDescent="0.3"/>
  <cols>
    <col min="2" max="2" width="21.44140625" customWidth="1"/>
    <col min="3" max="3" width="27.6640625" hidden="1" customWidth="1"/>
    <col min="4" max="4" width="12.5546875" customWidth="1"/>
    <col min="5" max="5" width="15.33203125" hidden="1" customWidth="1"/>
    <col min="6" max="6" width="10.5546875" style="168" customWidth="1"/>
    <col min="7" max="7" width="13.109375" customWidth="1"/>
    <col min="8" max="8" width="8.5546875" customWidth="1"/>
    <col min="9" max="10" width="14.109375" customWidth="1"/>
    <col min="11" max="11" width="16.6640625" bestFit="1" customWidth="1"/>
    <col min="12" max="12" width="16.33203125" customWidth="1"/>
    <col min="13" max="14" width="14.109375" customWidth="1"/>
    <col min="18" max="18" width="8.88671875" customWidth="1"/>
    <col min="19" max="19" width="39.5546875" customWidth="1"/>
    <col min="20" max="20" width="12.6640625" customWidth="1"/>
    <col min="21" max="21" width="14.33203125" bestFit="1" customWidth="1"/>
    <col min="22" max="22" width="14.44140625" bestFit="1" customWidth="1"/>
  </cols>
  <sheetData>
    <row r="4" spans="2:14" ht="21" x14ac:dyDescent="0.4">
      <c r="B4" s="49" t="s">
        <v>328</v>
      </c>
      <c r="C4" s="50"/>
      <c r="D4" s="50" t="s">
        <v>53</v>
      </c>
      <c r="E4" s="50" t="s">
        <v>53</v>
      </c>
      <c r="F4" s="166" t="s">
        <v>53</v>
      </c>
      <c r="G4" s="50" t="s">
        <v>53</v>
      </c>
      <c r="H4" s="50" t="s">
        <v>53</v>
      </c>
      <c r="I4" s="50" t="s">
        <v>53</v>
      </c>
      <c r="J4" s="50" t="s">
        <v>53</v>
      </c>
      <c r="K4" s="50" t="s">
        <v>53</v>
      </c>
      <c r="L4" s="50" t="s">
        <v>53</v>
      </c>
      <c r="M4" s="50" t="s">
        <v>53</v>
      </c>
      <c r="N4" s="51" t="s">
        <v>53</v>
      </c>
    </row>
    <row r="5" spans="2:14" ht="43.2" x14ac:dyDescent="0.3">
      <c r="B5" s="33" t="s">
        <v>1</v>
      </c>
      <c r="C5" s="34" t="s">
        <v>3</v>
      </c>
      <c r="D5" s="34" t="s">
        <v>2</v>
      </c>
      <c r="E5" s="34" t="s">
        <v>4</v>
      </c>
      <c r="F5" s="70" t="s">
        <v>6</v>
      </c>
      <c r="G5" s="34" t="s">
        <v>5</v>
      </c>
      <c r="H5" s="34" t="s">
        <v>53</v>
      </c>
      <c r="I5" s="34" t="s">
        <v>19</v>
      </c>
      <c r="J5" s="34" t="s">
        <v>20</v>
      </c>
      <c r="K5" s="34" t="s">
        <v>21</v>
      </c>
      <c r="L5" s="35" t="s">
        <v>22</v>
      </c>
      <c r="M5" s="34" t="s">
        <v>23</v>
      </c>
      <c r="N5" s="36" t="s">
        <v>24</v>
      </c>
    </row>
    <row r="6" spans="2:14" x14ac:dyDescent="0.3">
      <c r="B6" s="55">
        <v>0.13</v>
      </c>
      <c r="C6" s="53">
        <v>0.1</v>
      </c>
      <c r="D6" s="53">
        <v>0.12</v>
      </c>
      <c r="E6" s="53">
        <v>0.1</v>
      </c>
      <c r="F6" s="53">
        <v>0.25</v>
      </c>
      <c r="G6" s="54">
        <v>120</v>
      </c>
      <c r="H6" s="37" t="s">
        <v>53</v>
      </c>
      <c r="I6" s="56">
        <v>188.7</v>
      </c>
      <c r="J6" s="29">
        <f>F9</f>
        <v>1812.5</v>
      </c>
      <c r="K6" s="29">
        <v>49.45</v>
      </c>
      <c r="L6" s="29">
        <v>6.38</v>
      </c>
      <c r="M6" s="54" t="s">
        <v>32</v>
      </c>
      <c r="N6" s="38">
        <f>_xlfn.IFS(M6 = "Yes",K6 - L6,M6 = "No",K6)</f>
        <v>49.45</v>
      </c>
    </row>
    <row r="7" spans="2:14" x14ac:dyDescent="0.3">
      <c r="B7" s="39" t="s">
        <v>53</v>
      </c>
      <c r="C7" s="40" t="s">
        <v>53</v>
      </c>
      <c r="D7" s="40" t="s">
        <v>53</v>
      </c>
      <c r="E7" s="40" t="s">
        <v>53</v>
      </c>
      <c r="F7" s="167" t="s">
        <v>53</v>
      </c>
      <c r="G7" s="40" t="s">
        <v>53</v>
      </c>
      <c r="H7" s="40" t="s">
        <v>53</v>
      </c>
      <c r="I7" s="40" t="s">
        <v>53</v>
      </c>
      <c r="J7" s="40" t="s">
        <v>53</v>
      </c>
      <c r="K7" s="40" t="s">
        <v>53</v>
      </c>
      <c r="L7" s="40" t="s">
        <v>53</v>
      </c>
      <c r="M7" s="40" t="s">
        <v>53</v>
      </c>
      <c r="N7" s="41" t="s">
        <v>53</v>
      </c>
    </row>
    <row r="8" spans="2:14" ht="43.2" x14ac:dyDescent="0.3">
      <c r="B8" s="33" t="s">
        <v>10</v>
      </c>
      <c r="C8" s="34" t="s">
        <v>11</v>
      </c>
      <c r="D8" s="34" t="s">
        <v>12</v>
      </c>
      <c r="E8" s="34" t="s">
        <v>13</v>
      </c>
      <c r="F8" s="70" t="s">
        <v>14</v>
      </c>
      <c r="G8" s="34" t="s">
        <v>15</v>
      </c>
      <c r="H8" s="34" t="s">
        <v>53</v>
      </c>
      <c r="I8" s="34" t="s">
        <v>26</v>
      </c>
      <c r="J8" s="34" t="s">
        <v>27</v>
      </c>
      <c r="K8" s="34" t="s">
        <v>28</v>
      </c>
      <c r="L8" s="30" t="s">
        <v>29</v>
      </c>
      <c r="M8" s="34" t="s">
        <v>30</v>
      </c>
      <c r="N8" s="36" t="s">
        <v>31</v>
      </c>
    </row>
    <row r="9" spans="2:14" x14ac:dyDescent="0.3">
      <c r="B9" s="52">
        <v>150000</v>
      </c>
      <c r="C9" s="42">
        <f>B9 / $G6</f>
        <v>1250</v>
      </c>
      <c r="D9" s="43">
        <f>SUM($B6,$C6,$D6,$E6)</f>
        <v>0.44999999999999996</v>
      </c>
      <c r="E9" s="42">
        <f>(B9 * D9) / $G6</f>
        <v>562.5</v>
      </c>
      <c r="F9" s="42">
        <f>C9 + E9</f>
        <v>1812.5</v>
      </c>
      <c r="G9" s="42">
        <f>F9 * (1+$F6)</f>
        <v>2265.625</v>
      </c>
      <c r="H9" s="44" t="s">
        <v>53</v>
      </c>
      <c r="I9" s="45">
        <f>G6 * I6</f>
        <v>22644</v>
      </c>
      <c r="J9" s="45">
        <f>_xlfn.IFS(M6 = "Yes",G6 * (J6 + L6),M6 &lt;&gt; "Yes",G6 * (J6))</f>
        <v>217500</v>
      </c>
      <c r="K9" s="45">
        <f>I9 - J9</f>
        <v>-194856</v>
      </c>
      <c r="L9" s="46">
        <f>K9 / I9</f>
        <v>-8.6051934287228402</v>
      </c>
      <c r="M9" s="45">
        <f>I9 / 12</f>
        <v>1887</v>
      </c>
      <c r="N9" s="47">
        <f>K9 / 12</f>
        <v>-16238</v>
      </c>
    </row>
    <row r="12" spans="2:14" ht="21" x14ac:dyDescent="0.4">
      <c r="B12" s="49" t="s">
        <v>329</v>
      </c>
      <c r="C12" s="50"/>
      <c r="D12" s="50" t="s">
        <v>53</v>
      </c>
      <c r="E12" s="50" t="s">
        <v>53</v>
      </c>
      <c r="F12" s="166" t="s">
        <v>53</v>
      </c>
      <c r="G12" s="50" t="s">
        <v>53</v>
      </c>
      <c r="H12" s="50" t="s">
        <v>53</v>
      </c>
      <c r="I12" s="50" t="s">
        <v>53</v>
      </c>
      <c r="J12" s="50" t="s">
        <v>53</v>
      </c>
      <c r="K12" s="50" t="s">
        <v>53</v>
      </c>
      <c r="L12" s="50" t="s">
        <v>53</v>
      </c>
      <c r="M12" s="50" t="s">
        <v>53</v>
      </c>
      <c r="N12" s="51" t="s">
        <v>53</v>
      </c>
    </row>
    <row r="13" spans="2:14" ht="43.2" x14ac:dyDescent="0.3">
      <c r="B13" s="33" t="s">
        <v>1</v>
      </c>
      <c r="C13" s="34" t="s">
        <v>3</v>
      </c>
      <c r="D13" s="34" t="s">
        <v>2</v>
      </c>
      <c r="E13" s="34" t="s">
        <v>4</v>
      </c>
      <c r="F13" s="70" t="s">
        <v>6</v>
      </c>
      <c r="G13" s="34" t="s">
        <v>5</v>
      </c>
      <c r="H13" s="34" t="s">
        <v>53</v>
      </c>
      <c r="I13" s="34" t="s">
        <v>19</v>
      </c>
      <c r="J13" s="34" t="s">
        <v>20</v>
      </c>
      <c r="K13" s="34" t="s">
        <v>21</v>
      </c>
      <c r="L13" s="35" t="s">
        <v>22</v>
      </c>
      <c r="M13" s="34" t="s">
        <v>23</v>
      </c>
      <c r="N13" s="36" t="s">
        <v>24</v>
      </c>
    </row>
    <row r="14" spans="2:14" x14ac:dyDescent="0.3">
      <c r="B14" s="55">
        <v>0.13</v>
      </c>
      <c r="C14" s="53">
        <v>0.1</v>
      </c>
      <c r="D14" s="53">
        <v>0.12</v>
      </c>
      <c r="E14" s="53">
        <v>0.1</v>
      </c>
      <c r="F14" s="53">
        <v>0.25</v>
      </c>
      <c r="G14" s="54">
        <v>1880</v>
      </c>
      <c r="H14" s="37" t="s">
        <v>53</v>
      </c>
      <c r="I14" s="56">
        <v>144.34</v>
      </c>
      <c r="J14" s="29">
        <f>F17</f>
        <v>94.095744680851055</v>
      </c>
      <c r="K14" s="29">
        <v>49.45</v>
      </c>
      <c r="L14" s="29">
        <v>6.38</v>
      </c>
      <c r="M14" s="54" t="s">
        <v>32</v>
      </c>
      <c r="N14" s="38">
        <f>_xlfn.IFS(M14 = "Yes",K14 - L14,M14 = "No",K14)</f>
        <v>49.45</v>
      </c>
    </row>
    <row r="15" spans="2:14" x14ac:dyDescent="0.3">
      <c r="B15" s="39" t="s">
        <v>53</v>
      </c>
      <c r="C15" s="40" t="s">
        <v>53</v>
      </c>
      <c r="D15" s="40" t="s">
        <v>53</v>
      </c>
      <c r="E15" s="40" t="s">
        <v>53</v>
      </c>
      <c r="F15" s="167" t="s">
        <v>53</v>
      </c>
      <c r="G15" s="40" t="s">
        <v>53</v>
      </c>
      <c r="H15" s="40" t="s">
        <v>53</v>
      </c>
      <c r="I15" s="40" t="s">
        <v>53</v>
      </c>
      <c r="J15" s="40" t="s">
        <v>53</v>
      </c>
      <c r="K15" s="40" t="s">
        <v>53</v>
      </c>
      <c r="L15" s="40" t="s">
        <v>53</v>
      </c>
      <c r="M15" s="40" t="s">
        <v>53</v>
      </c>
      <c r="N15" s="41" t="s">
        <v>53</v>
      </c>
    </row>
    <row r="16" spans="2:14" ht="43.2" x14ac:dyDescent="0.3">
      <c r="B16" s="33" t="s">
        <v>10</v>
      </c>
      <c r="C16" s="34" t="s">
        <v>11</v>
      </c>
      <c r="D16" s="34" t="s">
        <v>12</v>
      </c>
      <c r="E16" s="34" t="s">
        <v>13</v>
      </c>
      <c r="F16" s="70" t="s">
        <v>14</v>
      </c>
      <c r="G16" s="34" t="s">
        <v>15</v>
      </c>
      <c r="H16" s="34" t="s">
        <v>53</v>
      </c>
      <c r="I16" s="34" t="s">
        <v>26</v>
      </c>
      <c r="J16" s="34" t="s">
        <v>27</v>
      </c>
      <c r="K16" s="34" t="s">
        <v>28</v>
      </c>
      <c r="L16" s="30" t="s">
        <v>29</v>
      </c>
      <c r="M16" s="34" t="s">
        <v>30</v>
      </c>
      <c r="N16" s="36" t="s">
        <v>31</v>
      </c>
    </row>
    <row r="17" spans="2:22" x14ac:dyDescent="0.3">
      <c r="B17" s="52">
        <v>122000</v>
      </c>
      <c r="C17" s="42">
        <f>B17 / $G14</f>
        <v>64.893617021276597</v>
      </c>
      <c r="D17" s="43">
        <f>SUM($B14,$C14,$D14,$E14)</f>
        <v>0.44999999999999996</v>
      </c>
      <c r="E17" s="42">
        <f>(B17 * D17) / $G14</f>
        <v>29.202127659574465</v>
      </c>
      <c r="F17" s="42">
        <f>C17 + E17</f>
        <v>94.095744680851055</v>
      </c>
      <c r="G17" s="42">
        <f>F17 * (1+$F14)</f>
        <v>117.61968085106382</v>
      </c>
      <c r="H17" s="44" t="s">
        <v>53</v>
      </c>
      <c r="I17" s="45">
        <f>G14 * I14</f>
        <v>271359.2</v>
      </c>
      <c r="J17" s="45">
        <f>_xlfn.IFS(M14 = "Yes",G14 * (J14 + L14),M14 &lt;&gt; "Yes",G14 * (J14))</f>
        <v>176899.99999999997</v>
      </c>
      <c r="K17" s="45">
        <f>I17 - J17</f>
        <v>94459.200000000041</v>
      </c>
      <c r="L17" s="46">
        <f>K17 / I17</f>
        <v>0.34809654509594679</v>
      </c>
      <c r="M17" s="45">
        <f>I17 / 12</f>
        <v>22613.266666666666</v>
      </c>
      <c r="N17" s="47">
        <f>K17 / 12</f>
        <v>7871.6000000000031</v>
      </c>
    </row>
    <row r="21" spans="2:22" x14ac:dyDescent="0.3">
      <c r="B21" t="s">
        <v>330</v>
      </c>
    </row>
    <row r="22" spans="2:22" ht="43.2" x14ac:dyDescent="0.3">
      <c r="B22" s="18" t="s">
        <v>1</v>
      </c>
      <c r="C22" s="18" t="s">
        <v>3</v>
      </c>
      <c r="D22" s="18" t="s">
        <v>2</v>
      </c>
      <c r="E22" s="18" t="s">
        <v>4</v>
      </c>
      <c r="F22" s="18" t="s">
        <v>6</v>
      </c>
      <c r="G22" s="18" t="s">
        <v>5</v>
      </c>
      <c r="I22" s="18" t="s">
        <v>19</v>
      </c>
      <c r="J22" s="18" t="s">
        <v>20</v>
      </c>
      <c r="K22" s="18" t="s">
        <v>21</v>
      </c>
      <c r="L22" s="18" t="s">
        <v>22</v>
      </c>
      <c r="M22" s="18" t="s">
        <v>23</v>
      </c>
      <c r="N22" s="18" t="s">
        <v>24</v>
      </c>
    </row>
    <row r="23" spans="2:22" x14ac:dyDescent="0.3">
      <c r="B23" s="4">
        <v>0</v>
      </c>
      <c r="C23" s="4">
        <v>0</v>
      </c>
      <c r="D23" s="4">
        <v>0</v>
      </c>
      <c r="E23" s="4">
        <v>0.05</v>
      </c>
      <c r="F23" s="169">
        <v>0.25</v>
      </c>
      <c r="G23" s="7">
        <v>1880</v>
      </c>
      <c r="I23" s="19">
        <v>172.38</v>
      </c>
      <c r="J23" s="57">
        <f>F26</f>
        <v>150.15</v>
      </c>
      <c r="K23" s="20">
        <f>I23 - J23</f>
        <v>22.22999999999999</v>
      </c>
      <c r="L23" s="20">
        <f>1000 / (G23 / 12)</f>
        <v>6.3829787234042561</v>
      </c>
      <c r="M23" s="21" t="s">
        <v>32</v>
      </c>
      <c r="N23" s="20" cm="1">
        <f t="array" ref="N23">_xlfn.IFS(M23 = "Yes",K23 - L23,M23 = "No",K23)</f>
        <v>22.22999999999999</v>
      </c>
    </row>
    <row r="24" spans="2:22" x14ac:dyDescent="0.3">
      <c r="G24" s="114"/>
    </row>
    <row r="25" spans="2:22" ht="43.2" x14ac:dyDescent="0.3">
      <c r="B25" s="18" t="s">
        <v>11</v>
      </c>
      <c r="C25" s="18" t="s">
        <v>33</v>
      </c>
      <c r="D25" s="18" t="s">
        <v>12</v>
      </c>
      <c r="E25" s="18" t="s">
        <v>13</v>
      </c>
      <c r="F25" s="18" t="s">
        <v>14</v>
      </c>
      <c r="G25" s="18" t="s">
        <v>15</v>
      </c>
      <c r="I25" s="18" t="s">
        <v>26</v>
      </c>
      <c r="J25" s="18" t="s">
        <v>27</v>
      </c>
      <c r="K25" s="18" t="s">
        <v>28</v>
      </c>
      <c r="L25" s="22" t="s">
        <v>29</v>
      </c>
      <c r="M25" s="18" t="s">
        <v>30</v>
      </c>
      <c r="N25" s="18" t="s">
        <v>31</v>
      </c>
    </row>
    <row r="26" spans="2:22" x14ac:dyDescent="0.3">
      <c r="B26" s="19">
        <v>143</v>
      </c>
      <c r="C26" s="16">
        <f>B26 * $G23</f>
        <v>268840</v>
      </c>
      <c r="D26" s="3">
        <f>SUM($B23,$C23,$D23,$E23)</f>
        <v>0.05</v>
      </c>
      <c r="E26" s="16">
        <f>(C26 * D26) / $G23</f>
        <v>7.15</v>
      </c>
      <c r="F26" s="170">
        <f>B26 +E26</f>
        <v>150.15</v>
      </c>
      <c r="G26" s="24">
        <f>F26 * (1+F23)</f>
        <v>187.6875</v>
      </c>
      <c r="I26" s="16">
        <f>G23 * I23</f>
        <v>324074.39999999997</v>
      </c>
      <c r="J26" s="16" cm="1">
        <f t="array" ref="J26">_xlfn.IFS(M23 = "Yes",G23 * (J23 + L23),M23 &lt;&gt; "Yes",G23 * (J23))</f>
        <v>282282</v>
      </c>
      <c r="K26" s="16">
        <f>I26 - J26</f>
        <v>41792.399999999965</v>
      </c>
      <c r="L26" s="26">
        <f>K26 / J26</f>
        <v>0.14805194805194793</v>
      </c>
      <c r="M26" s="16">
        <f>I26 / 12</f>
        <v>27006.199999999997</v>
      </c>
      <c r="N26" s="16">
        <f>K26 / 12</f>
        <v>3482.6999999999971</v>
      </c>
    </row>
    <row r="27" spans="2:22" x14ac:dyDescent="0.3">
      <c r="V27" s="73"/>
    </row>
    <row r="31" spans="2:22" x14ac:dyDescent="0.3">
      <c r="B31" t="s">
        <v>331</v>
      </c>
      <c r="C31" t="s">
        <v>332</v>
      </c>
      <c r="D31" t="s">
        <v>333</v>
      </c>
      <c r="E31" t="s">
        <v>265</v>
      </c>
      <c r="F31" s="168" t="s">
        <v>334</v>
      </c>
    </row>
    <row r="32" spans="2:22" x14ac:dyDescent="0.3">
      <c r="B32">
        <v>1</v>
      </c>
      <c r="C32" t="s">
        <v>335</v>
      </c>
      <c r="D32" s="64">
        <f>SUM(Table5[Annual Rev])</f>
        <v>324074.39999999997</v>
      </c>
      <c r="E32" s="64">
        <f>SUM(L45:L46)</f>
        <v>35310.912000000011</v>
      </c>
      <c r="F32" s="171">
        <f>M39</f>
        <v>0.12895927601809945</v>
      </c>
    </row>
    <row r="33" spans="1:13" ht="28.8" x14ac:dyDescent="0.3">
      <c r="B33">
        <v>2</v>
      </c>
      <c r="C33" s="161" t="s">
        <v>336</v>
      </c>
      <c r="D33" s="64">
        <f>SUM(Table58[Annual Rev])</f>
        <v>598099.43999999994</v>
      </c>
      <c r="E33" s="64">
        <f>SUM(L46:L47)</f>
        <v>127309.84</v>
      </c>
      <c r="F33" s="171">
        <f>AVERAGE(M46:M47)</f>
        <v>0.21957860992991043</v>
      </c>
    </row>
    <row r="34" spans="1:13" ht="28.8" x14ac:dyDescent="0.3">
      <c r="B34">
        <v>3</v>
      </c>
      <c r="C34" s="161" t="s">
        <v>337</v>
      </c>
      <c r="D34" s="64">
        <f>SUM(Table589[Annual Rev])</f>
        <v>1134337.1040000001</v>
      </c>
      <c r="E34" s="64">
        <f>SUM(L52:L53)</f>
        <v>200631.34400000004</v>
      </c>
      <c r="F34" s="171">
        <f>AVERAGE(M52:M54)</f>
        <v>0.25367264978345261</v>
      </c>
    </row>
    <row r="37" spans="1:13" s="161" customFormat="1" ht="34.200000000000003" customHeight="1" x14ac:dyDescent="0.3">
      <c r="A37" s="286"/>
      <c r="B37" s="161" t="s">
        <v>338</v>
      </c>
      <c r="C37" s="161" t="s">
        <v>339</v>
      </c>
      <c r="D37" s="175" t="s">
        <v>340</v>
      </c>
      <c r="E37" s="161" t="s">
        <v>20</v>
      </c>
      <c r="F37" s="172" t="s">
        <v>341</v>
      </c>
      <c r="G37" s="175" t="s">
        <v>342</v>
      </c>
      <c r="H37" s="161" t="s">
        <v>343</v>
      </c>
      <c r="I37" s="161" t="s">
        <v>251</v>
      </c>
      <c r="J37" s="161" t="s">
        <v>333</v>
      </c>
      <c r="K37" s="161" t="s">
        <v>156</v>
      </c>
      <c r="L37" s="161" t="s">
        <v>265</v>
      </c>
      <c r="M37" s="161" t="s">
        <v>29</v>
      </c>
    </row>
    <row r="38" spans="1:13" x14ac:dyDescent="0.3">
      <c r="A38" s="286"/>
      <c r="B38" t="s">
        <v>328</v>
      </c>
      <c r="C38" t="s">
        <v>240</v>
      </c>
      <c r="D38" s="158">
        <v>188.7</v>
      </c>
      <c r="F38" s="173">
        <v>0</v>
      </c>
      <c r="G38" s="159">
        <f>Table5[[#This Row],[Current Hourly Rate]]* (1-Table5[[#This Row],[DISCOUNT]])</f>
        <v>188.7</v>
      </c>
      <c r="H38">
        <v>0.1</v>
      </c>
      <c r="I38" s="163"/>
      <c r="J38" s="64"/>
      <c r="K38" s="159"/>
      <c r="L38" s="162"/>
      <c r="M38" s="86"/>
    </row>
    <row r="39" spans="1:13" x14ac:dyDescent="0.3">
      <c r="A39" s="286"/>
      <c r="B39" t="s">
        <v>344</v>
      </c>
      <c r="C39" t="s">
        <v>345</v>
      </c>
      <c r="D39" s="158">
        <v>172.38</v>
      </c>
      <c r="E39" s="159">
        <v>150.15</v>
      </c>
      <c r="F39" s="173">
        <v>0</v>
      </c>
      <c r="G39" s="159">
        <f>Table5[[#This Row],[Current Hourly Rate]]* (1-Table5[[#This Row],[DISCOUNT]])</f>
        <v>172.38</v>
      </c>
      <c r="H39">
        <v>1</v>
      </c>
      <c r="I39" s="163">
        <v>1880</v>
      </c>
      <c r="J39" s="64">
        <f>Table5[[#This Row],[Hours]]*Table5[[#This Row],[New Hourly Rate]]*Table5[[#This Row],[FTE Count]]</f>
        <v>324074.39999999997</v>
      </c>
      <c r="K39" s="64">
        <f>Table5[[#This Row],[Hours]]*Table5[[#This Row],[PA Hourly Burdened Cost]]*Table5[[#This Row],[FTE Count]]</f>
        <v>282282</v>
      </c>
      <c r="L39" s="64">
        <f>Table5[[#This Row],[Annual Rev]]-Table5[[#This Row],[Annual Cost]]</f>
        <v>41792.399999999965</v>
      </c>
      <c r="M39" s="160">
        <f>Table5[[#This Row],[Annual Profit]]/Table5[[#This Row],[Annual Rev]]</f>
        <v>0.12895927601809945</v>
      </c>
    </row>
    <row r="40" spans="1:13" x14ac:dyDescent="0.3">
      <c r="A40" s="286"/>
      <c r="B40" t="s">
        <v>329</v>
      </c>
      <c r="C40" t="s">
        <v>346</v>
      </c>
      <c r="D40" s="159">
        <v>162.18</v>
      </c>
      <c r="F40" s="173">
        <v>0.06</v>
      </c>
      <c r="G40" s="159">
        <f>Table5[[#This Row],[Current Hourly Rate]]* (1-Table5[[#This Row],[DISCOUNT]])</f>
        <v>152.44919999999999</v>
      </c>
      <c r="H40">
        <v>0</v>
      </c>
      <c r="I40" s="163">
        <v>1880</v>
      </c>
      <c r="J40" s="64">
        <f>Table5[[#This Row],[Hours]]*Table5[[#This Row],[New Hourly Rate]]*Table5[[#This Row],[FTE Count]]</f>
        <v>0</v>
      </c>
      <c r="K40" s="64">
        <f>Table5[[#This Row],[Hours]]*Table5[[#This Row],[PA Hourly Burdened Cost]]*Table5[[#This Row],[FTE Count]]</f>
        <v>0</v>
      </c>
      <c r="L40" s="64">
        <f>Table5[[#This Row],[Annual Rev]]-Table5[[#This Row],[Annual Cost]]</f>
        <v>0</v>
      </c>
      <c r="M40" s="160" t="e">
        <f>Table5[[#This Row],[Annual Profit]]/Table5[[#This Row],[Annual Cost]]</f>
        <v>#DIV/0!</v>
      </c>
    </row>
    <row r="41" spans="1:13" x14ac:dyDescent="0.3">
      <c r="I41" s="163"/>
    </row>
    <row r="42" spans="1:13" x14ac:dyDescent="0.3">
      <c r="I42" s="163"/>
    </row>
    <row r="43" spans="1:13" ht="21" x14ac:dyDescent="0.4">
      <c r="B43" s="165" t="s">
        <v>347</v>
      </c>
      <c r="I43" s="163"/>
    </row>
    <row r="44" spans="1:13" ht="28.8" x14ac:dyDescent="0.3">
      <c r="A44" s="287"/>
      <c r="B44" s="161" t="s">
        <v>338</v>
      </c>
      <c r="C44" s="161" t="s">
        <v>339</v>
      </c>
      <c r="D44" s="175" t="s">
        <v>340</v>
      </c>
      <c r="E44" s="161" t="s">
        <v>20</v>
      </c>
      <c r="F44" s="172" t="s">
        <v>341</v>
      </c>
      <c r="G44" s="175" t="s">
        <v>342</v>
      </c>
      <c r="H44" s="161" t="s">
        <v>343</v>
      </c>
      <c r="I44" s="164" t="s">
        <v>251</v>
      </c>
      <c r="J44" s="161" t="s">
        <v>333</v>
      </c>
      <c r="K44" s="161" t="s">
        <v>156</v>
      </c>
      <c r="L44" s="161" t="s">
        <v>265</v>
      </c>
      <c r="M44" s="161" t="s">
        <v>29</v>
      </c>
    </row>
    <row r="45" spans="1:13" x14ac:dyDescent="0.3">
      <c r="A45" s="287"/>
      <c r="B45" t="s">
        <v>328</v>
      </c>
      <c r="C45" t="s">
        <v>240</v>
      </c>
      <c r="D45" s="158">
        <v>188.7</v>
      </c>
      <c r="F45" s="174">
        <v>0</v>
      </c>
      <c r="G45" s="64">
        <f>Table58[[#This Row],[Current Hourly Rate]]* (1-Table58[[#This Row],[DISCOUNT]])</f>
        <v>188.7</v>
      </c>
      <c r="H45">
        <v>0.1</v>
      </c>
      <c r="I45" s="163"/>
      <c r="J45" s="64"/>
      <c r="K45" s="159"/>
      <c r="L45" s="162"/>
      <c r="M45" s="86"/>
    </row>
    <row r="46" spans="1:13" x14ac:dyDescent="0.3">
      <c r="A46" s="287"/>
      <c r="B46" t="s">
        <v>344</v>
      </c>
      <c r="C46" t="s">
        <v>345</v>
      </c>
      <c r="D46" s="158">
        <v>172.38</v>
      </c>
      <c r="E46" s="159">
        <v>150.15</v>
      </c>
      <c r="F46" s="174">
        <v>0.02</v>
      </c>
      <c r="G46" s="64">
        <f>Table58[[#This Row],[Current Hourly Rate]]* (1-Table58[[#This Row],[DISCOUNT]])</f>
        <v>168.9324</v>
      </c>
      <c r="H46">
        <v>1</v>
      </c>
      <c r="I46" s="163">
        <v>1880</v>
      </c>
      <c r="J46" s="64">
        <f>+Table58[[#This Row],[Hours]]*Table58[[#This Row],[New Hourly Rate]]*Table58[[#This Row],[FTE Count]]</f>
        <v>317592.91200000001</v>
      </c>
      <c r="K46" s="64">
        <f>Table58[[#This Row],[Hours]]*Table58[[#This Row],[PA Hourly Burdened Cost]]*Table58[[#This Row],[FTE Count]]</f>
        <v>282282</v>
      </c>
      <c r="L46" s="64">
        <f>Table58[[#This Row],[Annual Rev]]-Table58[[#This Row],[Annual Cost]]</f>
        <v>35310.912000000011</v>
      </c>
      <c r="M46" s="160">
        <f>Table58[[#This Row],[Annual Profit]]/Table58[[#This Row],[Annual Rev]]</f>
        <v>0.11118293471234651</v>
      </c>
    </row>
    <row r="47" spans="1:13" x14ac:dyDescent="0.3">
      <c r="A47" s="287"/>
      <c r="B47" t="s">
        <v>329</v>
      </c>
      <c r="C47" t="s">
        <v>348</v>
      </c>
      <c r="D47" s="159">
        <v>162.18</v>
      </c>
      <c r="E47">
        <v>100.27</v>
      </c>
      <c r="F47" s="174">
        <v>0.08</v>
      </c>
      <c r="G47" s="64">
        <f>Table58[[#This Row],[Current Hourly Rate]]* (1-Table58[[#This Row],[DISCOUNT]])</f>
        <v>149.2056</v>
      </c>
      <c r="H47">
        <v>1</v>
      </c>
      <c r="I47" s="163">
        <v>1880</v>
      </c>
      <c r="J47" s="64">
        <f>+Table58[[#This Row],[Hours]]*Table58[[#This Row],[New Hourly Rate]]*Table58[[#This Row],[FTE Count]]</f>
        <v>280506.52799999999</v>
      </c>
      <c r="K47" s="64">
        <f>Table58[[#This Row],[Hours]]*Table58[[#This Row],[PA Hourly Burdened Cost]]*Table58[[#This Row],[FTE Count]]</f>
        <v>188507.6</v>
      </c>
      <c r="L47" s="64">
        <f>Table58[[#This Row],[Annual Rev]]-Table58[[#This Row],[Annual Cost]]</f>
        <v>91998.927999999985</v>
      </c>
      <c r="M47" s="160">
        <f>Table58[[#This Row],[Annual Profit]]/Table58[[#This Row],[Annual Rev]]</f>
        <v>0.32797428514747434</v>
      </c>
    </row>
    <row r="49" spans="1:13" ht="21" x14ac:dyDescent="0.4">
      <c r="B49" s="165" t="s">
        <v>349</v>
      </c>
    </row>
    <row r="50" spans="1:13" ht="28.8" x14ac:dyDescent="0.3">
      <c r="A50" s="287" t="s">
        <v>350</v>
      </c>
      <c r="B50" s="161" t="s">
        <v>338</v>
      </c>
      <c r="C50" s="161" t="s">
        <v>339</v>
      </c>
      <c r="D50" s="175" t="s">
        <v>340</v>
      </c>
      <c r="E50" s="161" t="s">
        <v>20</v>
      </c>
      <c r="F50" s="172" t="s">
        <v>341</v>
      </c>
      <c r="G50" s="175" t="s">
        <v>342</v>
      </c>
      <c r="H50" s="161" t="s">
        <v>343</v>
      </c>
      <c r="I50" s="164" t="s">
        <v>251</v>
      </c>
      <c r="J50" s="161" t="s">
        <v>333</v>
      </c>
      <c r="K50" s="161" t="s">
        <v>156</v>
      </c>
      <c r="L50" s="161" t="s">
        <v>265</v>
      </c>
      <c r="M50" s="161" t="s">
        <v>29</v>
      </c>
    </row>
    <row r="51" spans="1:13" x14ac:dyDescent="0.3">
      <c r="A51" s="287"/>
      <c r="B51" t="s">
        <v>328</v>
      </c>
      <c r="C51" t="s">
        <v>240</v>
      </c>
      <c r="D51" s="158">
        <v>188.7</v>
      </c>
      <c r="F51" s="174">
        <v>0</v>
      </c>
      <c r="G51" s="64">
        <f>Table589[[#This Row],[Current Hourly Rate]]* (1-Table589[[#This Row],[DISCOUNT]])</f>
        <v>188.7</v>
      </c>
      <c r="H51">
        <v>0.1</v>
      </c>
      <c r="I51" s="163"/>
      <c r="J51" s="64"/>
      <c r="K51" s="159"/>
      <c r="L51" s="162"/>
      <c r="M51" s="86"/>
    </row>
    <row r="52" spans="1:13" x14ac:dyDescent="0.3">
      <c r="A52" s="287"/>
      <c r="B52" t="s">
        <v>344</v>
      </c>
      <c r="C52" t="s">
        <v>345</v>
      </c>
      <c r="D52" s="158">
        <v>172.38</v>
      </c>
      <c r="E52" s="159">
        <v>150.15</v>
      </c>
      <c r="F52" s="174">
        <v>0.04</v>
      </c>
      <c r="G52" s="64">
        <f>Table589[[#This Row],[Current Hourly Rate]]* (1-Table589[[#This Row],[DISCOUNT]])</f>
        <v>165.48479999999998</v>
      </c>
      <c r="H52">
        <v>1</v>
      </c>
      <c r="I52" s="163">
        <v>1880</v>
      </c>
      <c r="J52" s="64">
        <f>+Table589[[#This Row],[Hours]]*Table589[[#This Row],[New Hourly Rate]]*Table589[[#This Row],[FTE Count]]</f>
        <v>311111.42399999994</v>
      </c>
      <c r="K52" s="64">
        <f>Table589[[#This Row],[Hours]]*Table589[[#This Row],[PA Hourly Burdened Cost]]*Table589[[#This Row],[FTE Count]]</f>
        <v>282282</v>
      </c>
      <c r="L52" s="64">
        <f>Table589[[#This Row],[Annual Rev]]-Table589[[#This Row],[Annual Cost]]</f>
        <v>28829.423999999941</v>
      </c>
      <c r="M52" s="160">
        <f>Table589[[#This Row],[Annual Profit]]/Table589[[#This Row],[Annual Rev]]</f>
        <v>9.2665912518853519E-2</v>
      </c>
    </row>
    <row r="53" spans="1:13" x14ac:dyDescent="0.3">
      <c r="A53" s="287"/>
      <c r="B53" t="s">
        <v>329</v>
      </c>
      <c r="C53" t="s">
        <v>348</v>
      </c>
      <c r="D53" s="159">
        <v>162.18</v>
      </c>
      <c r="E53">
        <v>100.27</v>
      </c>
      <c r="F53" s="174">
        <v>0.1</v>
      </c>
      <c r="G53" s="64">
        <f>Table589[[#This Row],[Current Hourly Rate]]* (1-Table589[[#This Row],[DISCOUNT]])</f>
        <v>145.96200000000002</v>
      </c>
      <c r="H53">
        <v>2</v>
      </c>
      <c r="I53" s="163">
        <v>1880</v>
      </c>
      <c r="J53" s="64">
        <f>+Table589[[#This Row],[Hours]]*Table589[[#This Row],[New Hourly Rate]]*Table589[[#This Row],[FTE Count]]</f>
        <v>548817.12000000011</v>
      </c>
      <c r="K53" s="64">
        <f>Table589[[#This Row],[Hours]]*Table589[[#This Row],[PA Hourly Burdened Cost]]*Table589[[#This Row],[FTE Count]]</f>
        <v>377015.2</v>
      </c>
      <c r="L53" s="64">
        <f>Table589[[#This Row],[Annual Rev]]-Table589[[#This Row],[Annual Cost]]</f>
        <v>171801.9200000001</v>
      </c>
      <c r="M53" s="160">
        <f>Table589[[#This Row],[Annual Profit]]/Table589[[#This Row],[Annual Rev]]</f>
        <v>0.31304038037297388</v>
      </c>
    </row>
    <row r="54" spans="1:13" hidden="1" x14ac:dyDescent="0.3">
      <c r="B54" t="s">
        <v>329</v>
      </c>
      <c r="C54" t="s">
        <v>351</v>
      </c>
      <c r="D54" s="159">
        <v>162.18</v>
      </c>
      <c r="E54">
        <v>94.1</v>
      </c>
      <c r="F54" s="174">
        <v>0.1</v>
      </c>
      <c r="G54" s="64">
        <f>Table589[[#This Row],[Current Hourly Rate]]* (1-Table589[[#This Row],[DISCOUNT]])</f>
        <v>145.96200000000002</v>
      </c>
      <c r="H54">
        <v>1</v>
      </c>
      <c r="I54" s="163">
        <v>1880</v>
      </c>
      <c r="J54" s="64">
        <f>+Table589[[#This Row],[Hours]]*Table589[[#This Row],[New Hourly Rate]]*Table589[[#This Row],[FTE Count]]</f>
        <v>274408.56000000006</v>
      </c>
      <c r="K54" s="64">
        <f>Table589[[#This Row],[Hours]]*Table589[[#This Row],[PA Hourly Burdened Cost]]*Table589[[#This Row],[FTE Count]]</f>
        <v>176908</v>
      </c>
      <c r="L54" s="64">
        <f>Table589[[#This Row],[Annual Rev]]-Table589[[#This Row],[Annual Cost]]</f>
        <v>97500.560000000056</v>
      </c>
      <c r="M54" s="160">
        <f>Table589[[#This Row],[Annual Profit]]/Table589[[#This Row],[Annual Rev]]</f>
        <v>0.35531165645853041</v>
      </c>
    </row>
  </sheetData>
  <mergeCells count="3">
    <mergeCell ref="A37:A40"/>
    <mergeCell ref="A44:A47"/>
    <mergeCell ref="A50:A53"/>
  </mergeCells>
  <pageMargins left="0.7" right="0.7" top="0.75" bottom="0.75" header="0.3" footer="0.3"/>
  <legacyDrawing r:id="rId1"/>
  <tableParts count="4">
    <tablePart r:id="rId2"/>
    <tablePart r:id="rId3"/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1431-4D69-4035-AA6B-F37A637CE6B2}">
  <dimension ref="B3:N16"/>
  <sheetViews>
    <sheetView workbookViewId="0">
      <selection activeCell="C13" sqref="C13"/>
    </sheetView>
  </sheetViews>
  <sheetFormatPr defaultRowHeight="14.4" x14ac:dyDescent="0.3"/>
  <cols>
    <col min="2" max="2" width="14.44140625" customWidth="1"/>
    <col min="3" max="7" width="12.109375" customWidth="1"/>
    <col min="8" max="8" width="4" customWidth="1"/>
    <col min="9" max="14" width="12.109375" customWidth="1"/>
  </cols>
  <sheetData>
    <row r="3" spans="2:14" ht="21" x14ac:dyDescent="0.4">
      <c r="B3" s="49" t="s">
        <v>121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1"/>
    </row>
    <row r="4" spans="2:14" ht="57.6" x14ac:dyDescent="0.3">
      <c r="B4" s="33" t="s">
        <v>1</v>
      </c>
      <c r="C4" s="34" t="s">
        <v>3</v>
      </c>
      <c r="D4" s="34" t="s">
        <v>2</v>
      </c>
      <c r="E4" s="34" t="s">
        <v>4</v>
      </c>
      <c r="F4" s="34" t="s">
        <v>6</v>
      </c>
      <c r="G4" s="34" t="s">
        <v>5</v>
      </c>
      <c r="H4" s="34"/>
      <c r="I4" s="34" t="s">
        <v>19</v>
      </c>
      <c r="J4" s="34" t="s">
        <v>20</v>
      </c>
      <c r="K4" s="34" t="s">
        <v>21</v>
      </c>
      <c r="L4" s="35" t="s">
        <v>22</v>
      </c>
      <c r="M4" s="34" t="s">
        <v>23</v>
      </c>
      <c r="N4" s="36" t="s">
        <v>24</v>
      </c>
    </row>
    <row r="5" spans="2:14" x14ac:dyDescent="0.3">
      <c r="B5" s="55">
        <v>0.03</v>
      </c>
      <c r="C5" s="53">
        <v>0.1</v>
      </c>
      <c r="D5" s="53">
        <v>0.12</v>
      </c>
      <c r="E5" s="53">
        <v>0.1</v>
      </c>
      <c r="F5" s="53">
        <v>0.25</v>
      </c>
      <c r="G5" s="54">
        <v>1880</v>
      </c>
      <c r="H5" s="37"/>
      <c r="I5" s="56">
        <v>172</v>
      </c>
      <c r="J5" s="29">
        <f>F8</f>
        <v>129.25531914893617</v>
      </c>
      <c r="K5" s="29">
        <f>I5 - J5</f>
        <v>42.744680851063833</v>
      </c>
      <c r="L5" s="29">
        <f>1000 / (G5 / 12)</f>
        <v>6.3829787234042561</v>
      </c>
      <c r="M5" s="54" t="s">
        <v>32</v>
      </c>
      <c r="N5" s="38">
        <f>_xlfn.IFS(M5 = "Yes",K5 - L5,M5 = "No",K5)</f>
        <v>42.744680851063833</v>
      </c>
    </row>
    <row r="6" spans="2:14" x14ac:dyDescent="0.3">
      <c r="B6" s="39"/>
      <c r="C6" s="40"/>
      <c r="D6" s="40"/>
      <c r="E6" s="40"/>
      <c r="F6" s="40"/>
      <c r="G6" s="40"/>
      <c r="H6" s="40"/>
      <c r="I6" s="65"/>
      <c r="J6" s="40"/>
      <c r="K6" s="40"/>
      <c r="L6" s="40"/>
      <c r="M6" s="40"/>
      <c r="N6" s="41"/>
    </row>
    <row r="7" spans="2:14" ht="43.2" x14ac:dyDescent="0.3">
      <c r="B7" s="33" t="s">
        <v>84</v>
      </c>
      <c r="C7" s="34" t="s">
        <v>11</v>
      </c>
      <c r="D7" s="34" t="s">
        <v>12</v>
      </c>
      <c r="E7" s="34" t="s">
        <v>13</v>
      </c>
      <c r="F7" s="34" t="s">
        <v>14</v>
      </c>
      <c r="G7" s="34" t="s">
        <v>15</v>
      </c>
      <c r="H7" s="34"/>
      <c r="I7" s="34" t="s">
        <v>26</v>
      </c>
      <c r="J7" s="34" t="s">
        <v>27</v>
      </c>
      <c r="K7" s="34" t="s">
        <v>28</v>
      </c>
      <c r="L7" s="30" t="s">
        <v>29</v>
      </c>
      <c r="M7" s="34" t="s">
        <v>30</v>
      </c>
      <c r="N7" s="36" t="s">
        <v>31</v>
      </c>
    </row>
    <row r="8" spans="2:14" x14ac:dyDescent="0.3">
      <c r="B8" s="52">
        <v>180000</v>
      </c>
      <c r="C8" s="42">
        <f>B8 / $G5</f>
        <v>95.744680851063833</v>
      </c>
      <c r="D8" s="43">
        <f>SUM($B5,$C5,$D5,$E5)</f>
        <v>0.35</v>
      </c>
      <c r="E8" s="42">
        <f>(B8 * D8) / $G5</f>
        <v>33.510638297872333</v>
      </c>
      <c r="F8" s="42">
        <f>C8 + E8</f>
        <v>129.25531914893617</v>
      </c>
      <c r="G8" s="42">
        <f>F8 * (1+$F5)</f>
        <v>161.56914893617022</v>
      </c>
      <c r="H8" s="44"/>
      <c r="I8" s="45">
        <f>G5 * I5</f>
        <v>323360</v>
      </c>
      <c r="J8" s="45">
        <f>_xlfn.IFS(M5 = "Yes",G5 * (J5 + L5),M5 &lt;&gt; "Yes",G5 * (J5))</f>
        <v>243000</v>
      </c>
      <c r="K8" s="45">
        <f>I8 - J8</f>
        <v>80360</v>
      </c>
      <c r="L8" s="46">
        <f>K8 / I8</f>
        <v>0.24851558634339435</v>
      </c>
      <c r="M8" s="45">
        <f>I8 / 12</f>
        <v>26946.666666666668</v>
      </c>
      <c r="N8" s="47">
        <f>K8 / 12</f>
        <v>6696.666666666667</v>
      </c>
    </row>
    <row r="11" spans="2:14" x14ac:dyDescent="0.3">
      <c r="B11" s="156" t="s">
        <v>352</v>
      </c>
    </row>
    <row r="12" spans="2:14" x14ac:dyDescent="0.3">
      <c r="B12" t="s">
        <v>69</v>
      </c>
      <c r="C12" s="211">
        <v>16000</v>
      </c>
    </row>
    <row r="13" spans="2:14" x14ac:dyDescent="0.3">
      <c r="B13" t="s">
        <v>353</v>
      </c>
      <c r="C13" t="s">
        <v>354</v>
      </c>
    </row>
    <row r="14" spans="2:14" x14ac:dyDescent="0.3">
      <c r="B14" t="s">
        <v>355</v>
      </c>
      <c r="C14" s="63">
        <f>B8/12*2</f>
        <v>30000</v>
      </c>
    </row>
    <row r="15" spans="2:14" x14ac:dyDescent="0.3">
      <c r="B15" t="s">
        <v>202</v>
      </c>
      <c r="C15" s="202">
        <f>1-C14/C12</f>
        <v>-0.875</v>
      </c>
    </row>
    <row r="16" spans="2:14" x14ac:dyDescent="0.3">
      <c r="B16" s="212" t="s">
        <v>356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EBA8-9E67-4EFD-B189-37D3CEF21E89}">
  <dimension ref="M29:M30"/>
  <sheetViews>
    <sheetView topLeftCell="G1" workbookViewId="0">
      <selection activeCell="J9" sqref="J9"/>
    </sheetView>
  </sheetViews>
  <sheetFormatPr defaultRowHeight="14.4" x14ac:dyDescent="0.3"/>
  <cols>
    <col min="13" max="13" width="12.109375" bestFit="1" customWidth="1"/>
  </cols>
  <sheetData>
    <row r="29" spans="13:13" x14ac:dyDescent="0.3">
      <c r="M29" s="257"/>
    </row>
    <row r="30" spans="13:13" x14ac:dyDescent="0.3">
      <c r="M30" s="6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C3BF82D45544B9C25F2BA1ADB701F" ma:contentTypeVersion="12" ma:contentTypeDescription="Create a new document." ma:contentTypeScope="" ma:versionID="f03df6f398b1b34f66661c1e2e80adbd">
  <xsd:schema xmlns:xsd="http://www.w3.org/2001/XMLSchema" xmlns:xs="http://www.w3.org/2001/XMLSchema" xmlns:p="http://schemas.microsoft.com/office/2006/metadata/properties" xmlns:ns2="4a4d1798-7772-49f3-b47f-88e067db8e62" xmlns:ns3="27a6fac7-efa0-49b4-9b42-1358400781ad" targetNamespace="http://schemas.microsoft.com/office/2006/metadata/properties" ma:root="true" ma:fieldsID="7d727427158be644b0b9951560723bfd" ns2:_="" ns3:_="">
    <xsd:import namespace="4a4d1798-7772-49f3-b47f-88e067db8e62"/>
    <xsd:import namespace="27a6fac7-efa0-49b4-9b42-1358400781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4d1798-7772-49f3-b47f-88e067db8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174dce-25f2-4145-bcbe-984449fda2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6fac7-efa0-49b4-9b42-1358400781a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5115829-13a8-493f-aeb1-b3b7913fb6ff}" ma:internalName="TaxCatchAll" ma:showField="CatchAllData" ma:web="27a6fac7-efa0-49b4-9b42-1358400781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4d1798-7772-49f3-b47f-88e067db8e62">
      <Terms xmlns="http://schemas.microsoft.com/office/infopath/2007/PartnerControls"/>
    </lcf76f155ced4ddcb4097134ff3c332f>
    <TaxCatchAll xmlns="27a6fac7-efa0-49b4-9b42-1358400781ad" xsi:nil="true"/>
  </documentManagement>
</p:properties>
</file>

<file path=customXml/itemProps1.xml><?xml version="1.0" encoding="utf-8"?>
<ds:datastoreItem xmlns:ds="http://schemas.openxmlformats.org/officeDocument/2006/customXml" ds:itemID="{3C908BA6-E2D5-4AC2-BBEF-C49625C3A6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E96FD5-2CEF-4E0A-B778-3C2F6ACA8E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4d1798-7772-49f3-b47f-88e067db8e62"/>
    <ds:schemaRef ds:uri="27a6fac7-efa0-49b4-9b42-1358400781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99232B-1C80-40D4-82D4-896D7357B769}">
  <ds:schemaRefs>
    <ds:schemaRef ds:uri="http://schemas.microsoft.com/office/2006/metadata/properties"/>
    <ds:schemaRef ds:uri="http://schemas.microsoft.com/office/infopath/2007/PartnerControls"/>
    <ds:schemaRef ds:uri="4a4d1798-7772-49f3-b47f-88e067db8e62"/>
    <ds:schemaRef ds:uri="27a6fac7-efa0-49b4-9b42-1358400781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8</vt:i4>
      </vt:variant>
    </vt:vector>
  </HeadingPairs>
  <TitlesOfParts>
    <vt:vector size="29" baseType="lpstr">
      <vt:lpstr>Profit Ranges</vt:lpstr>
      <vt:lpstr>Profit Calculator</vt:lpstr>
      <vt:lpstr>Warehouse</vt:lpstr>
      <vt:lpstr>Employee Profit Calculator</vt:lpstr>
      <vt:lpstr>AMC</vt:lpstr>
      <vt:lpstr>Army Analysis 2024-10</vt:lpstr>
      <vt:lpstr>Senior Coaches</vt:lpstr>
      <vt:lpstr>EBS-C Project</vt:lpstr>
      <vt:lpstr>1099 FFP vs T&amp;M</vt:lpstr>
      <vt:lpstr>IRS DSS</vt:lpstr>
      <vt:lpstr>IRS Mod</vt:lpstr>
      <vt:lpstr>Army Staffing Options</vt:lpstr>
      <vt:lpstr>ED AMS Staffing T&amp;M</vt:lpstr>
      <vt:lpstr>FMBT Bid</vt:lpstr>
      <vt:lpstr>ED Internal View</vt:lpstr>
      <vt:lpstr>ED AMS Presentation View</vt:lpstr>
      <vt:lpstr>Sheet2</vt:lpstr>
      <vt:lpstr>Offer Terms</vt:lpstr>
      <vt:lpstr>VA OY9</vt:lpstr>
      <vt:lpstr>Sheet1</vt:lpstr>
      <vt:lpstr>Sheet3</vt:lpstr>
      <vt:lpstr>nrClientHourlyRate</vt:lpstr>
      <vt:lpstr>nrHoursPerYear</vt:lpstr>
      <vt:lpstr>'FMBT Bid'!nrSarahSmith</vt:lpstr>
      <vt:lpstr>nrSarahSmith</vt:lpstr>
      <vt:lpstr>'FMBT Bid'!nrSarahSmith2</vt:lpstr>
      <vt:lpstr>nrSarahSmith2</vt:lpstr>
      <vt:lpstr>nrTargetProfitPct</vt:lpstr>
      <vt:lpstr>nrTargetProfitPct3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 Hunter</dc:creator>
  <cp:keywords/>
  <dc:description/>
  <cp:lastModifiedBy>Dave Witkin</cp:lastModifiedBy>
  <cp:revision/>
  <dcterms:created xsi:type="dcterms:W3CDTF">2022-04-15T15:28:09Z</dcterms:created>
  <dcterms:modified xsi:type="dcterms:W3CDTF">2025-05-11T23:29:47Z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0x010100C37C3BF82D45544B9C25F2BA1ADB701F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{"FileActivityType":"6","FileActivityTimeStamp":"2024-05-31T17:39:27.213Z","FileActivityUsersOnPage":[{"DisplayName":"Brad Hunter","Id":"brad.hunter@packagedagile.com"}],"FileActivityNavigationId":null}</vt:lpwstr>
  </property>
  <property fmtid="{D5CDD505-2E9C-101B-9397-08002B2CF9AE}" pid="7" name="TriggerFlowInfo">
    <vt:lpwstr/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xd_Signature">
    <vt:bool>false</vt:bool>
  </property>
</Properties>
</file>